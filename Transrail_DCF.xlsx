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mit\Desktop\Avalon Research\Company\Transrail Lighting\"/>
    </mc:Choice>
  </mc:AlternateContent>
  <xr:revisionPtr revIDLastSave="0" documentId="13_ncr:1_{BDDE31F9-30CD-41B0-8137-7EFDCD36CEA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CF &amp; Valuation" sheetId="1" r:id="rId1"/>
    <sheet name="Assumptions" sheetId="2" r:id="rId2"/>
    <sheet name="Beta calc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435" i="3" l="1"/>
  <c r="M1435" i="3"/>
  <c r="I1435" i="3"/>
  <c r="E1435" i="3"/>
  <c r="C1435" i="3"/>
  <c r="Q1434" i="3"/>
  <c r="M1434" i="3"/>
  <c r="I1434" i="3"/>
  <c r="E1434" i="3"/>
  <c r="C1434" i="3"/>
  <c r="Q1433" i="3"/>
  <c r="M1433" i="3"/>
  <c r="I1433" i="3"/>
  <c r="E1433" i="3"/>
  <c r="C1433" i="3"/>
  <c r="Q1432" i="3"/>
  <c r="M1432" i="3"/>
  <c r="I1432" i="3"/>
  <c r="E1432" i="3"/>
  <c r="C1432" i="3"/>
  <c r="Q1431" i="3"/>
  <c r="M1431" i="3"/>
  <c r="I1431" i="3"/>
  <c r="E1431" i="3"/>
  <c r="C1431" i="3"/>
  <c r="Q1430" i="3"/>
  <c r="M1430" i="3"/>
  <c r="I1430" i="3"/>
  <c r="E1430" i="3"/>
  <c r="C1430" i="3"/>
  <c r="Q1429" i="3"/>
  <c r="M1429" i="3"/>
  <c r="I1429" i="3"/>
  <c r="E1429" i="3"/>
  <c r="C1429" i="3"/>
  <c r="Q1428" i="3"/>
  <c r="M1428" i="3"/>
  <c r="I1428" i="3"/>
  <c r="E1428" i="3"/>
  <c r="C1428" i="3"/>
  <c r="Q1427" i="3"/>
  <c r="M1427" i="3"/>
  <c r="I1427" i="3"/>
  <c r="E1427" i="3"/>
  <c r="C1427" i="3"/>
  <c r="Q1426" i="3"/>
  <c r="M1426" i="3"/>
  <c r="I1426" i="3"/>
  <c r="E1426" i="3"/>
  <c r="C1426" i="3"/>
  <c r="Q1425" i="3"/>
  <c r="M1425" i="3"/>
  <c r="I1425" i="3"/>
  <c r="E1425" i="3"/>
  <c r="C1425" i="3"/>
  <c r="Q1424" i="3"/>
  <c r="M1424" i="3"/>
  <c r="I1424" i="3"/>
  <c r="E1424" i="3"/>
  <c r="C1424" i="3"/>
  <c r="Q1423" i="3"/>
  <c r="M1423" i="3"/>
  <c r="I1423" i="3"/>
  <c r="E1423" i="3"/>
  <c r="C1423" i="3"/>
  <c r="Q1422" i="3"/>
  <c r="M1422" i="3"/>
  <c r="I1422" i="3"/>
  <c r="E1422" i="3"/>
  <c r="C1422" i="3"/>
  <c r="Q1421" i="3"/>
  <c r="M1421" i="3"/>
  <c r="I1421" i="3"/>
  <c r="E1421" i="3"/>
  <c r="C1421" i="3"/>
  <c r="Q1420" i="3"/>
  <c r="M1420" i="3"/>
  <c r="I1420" i="3"/>
  <c r="E1420" i="3"/>
  <c r="C1420" i="3"/>
  <c r="Q1419" i="3"/>
  <c r="M1419" i="3"/>
  <c r="I1419" i="3"/>
  <c r="E1419" i="3"/>
  <c r="C1419" i="3"/>
  <c r="Q1418" i="3"/>
  <c r="M1418" i="3"/>
  <c r="I1418" i="3"/>
  <c r="E1418" i="3"/>
  <c r="C1418" i="3"/>
  <c r="Q1417" i="3"/>
  <c r="M1417" i="3"/>
  <c r="I1417" i="3"/>
  <c r="E1417" i="3"/>
  <c r="C1417" i="3"/>
  <c r="Q1416" i="3"/>
  <c r="M1416" i="3"/>
  <c r="I1416" i="3"/>
  <c r="E1416" i="3"/>
  <c r="C1416" i="3"/>
  <c r="Q1415" i="3"/>
  <c r="M1415" i="3"/>
  <c r="I1415" i="3"/>
  <c r="E1415" i="3"/>
  <c r="C1415" i="3"/>
  <c r="Q1414" i="3"/>
  <c r="M1414" i="3"/>
  <c r="I1414" i="3"/>
  <c r="E1414" i="3"/>
  <c r="C1414" i="3"/>
  <c r="Q1413" i="3"/>
  <c r="M1413" i="3"/>
  <c r="I1413" i="3"/>
  <c r="E1413" i="3"/>
  <c r="C1413" i="3"/>
  <c r="Q1412" i="3"/>
  <c r="M1412" i="3"/>
  <c r="I1412" i="3"/>
  <c r="E1412" i="3"/>
  <c r="C1412" i="3"/>
  <c r="Q1411" i="3"/>
  <c r="M1411" i="3"/>
  <c r="I1411" i="3"/>
  <c r="E1411" i="3"/>
  <c r="C1411" i="3"/>
  <c r="Q1410" i="3"/>
  <c r="M1410" i="3"/>
  <c r="I1410" i="3"/>
  <c r="E1410" i="3"/>
  <c r="C1410" i="3"/>
  <c r="Q1409" i="3"/>
  <c r="M1409" i="3"/>
  <c r="I1409" i="3"/>
  <c r="E1409" i="3"/>
  <c r="C1409" i="3"/>
  <c r="Q1408" i="3"/>
  <c r="M1408" i="3"/>
  <c r="I1408" i="3"/>
  <c r="E1408" i="3"/>
  <c r="C1408" i="3"/>
  <c r="Q1407" i="3"/>
  <c r="M1407" i="3"/>
  <c r="I1407" i="3"/>
  <c r="E1407" i="3"/>
  <c r="C1407" i="3"/>
  <c r="Q1406" i="3"/>
  <c r="M1406" i="3"/>
  <c r="I1406" i="3"/>
  <c r="E1406" i="3"/>
  <c r="C1406" i="3"/>
  <c r="Q1405" i="3"/>
  <c r="M1405" i="3"/>
  <c r="I1405" i="3"/>
  <c r="E1405" i="3"/>
  <c r="C1405" i="3"/>
  <c r="Q1404" i="3"/>
  <c r="M1404" i="3"/>
  <c r="I1404" i="3"/>
  <c r="E1404" i="3"/>
  <c r="C1404" i="3"/>
  <c r="Q1403" i="3"/>
  <c r="M1403" i="3"/>
  <c r="I1403" i="3"/>
  <c r="E1403" i="3"/>
  <c r="C1403" i="3"/>
  <c r="Q1402" i="3"/>
  <c r="M1402" i="3"/>
  <c r="I1402" i="3"/>
  <c r="E1402" i="3"/>
  <c r="C1402" i="3"/>
  <c r="Q1401" i="3"/>
  <c r="M1401" i="3"/>
  <c r="I1401" i="3"/>
  <c r="E1401" i="3"/>
  <c r="C1401" i="3"/>
  <c r="Q1400" i="3"/>
  <c r="M1400" i="3"/>
  <c r="I1400" i="3"/>
  <c r="E1400" i="3"/>
  <c r="C1400" i="3"/>
  <c r="Q1399" i="3"/>
  <c r="M1399" i="3"/>
  <c r="I1399" i="3"/>
  <c r="E1399" i="3"/>
  <c r="C1399" i="3"/>
  <c r="Q1398" i="3"/>
  <c r="M1398" i="3"/>
  <c r="I1398" i="3"/>
  <c r="E1398" i="3"/>
  <c r="C1398" i="3"/>
  <c r="Q1397" i="3"/>
  <c r="M1397" i="3"/>
  <c r="I1397" i="3"/>
  <c r="E1397" i="3"/>
  <c r="C1397" i="3"/>
  <c r="Q1396" i="3"/>
  <c r="M1396" i="3"/>
  <c r="I1396" i="3"/>
  <c r="E1396" i="3"/>
  <c r="C1396" i="3"/>
  <c r="Q1395" i="3"/>
  <c r="M1395" i="3"/>
  <c r="I1395" i="3"/>
  <c r="E1395" i="3"/>
  <c r="C1395" i="3"/>
  <c r="Q1394" i="3"/>
  <c r="M1394" i="3"/>
  <c r="I1394" i="3"/>
  <c r="E1394" i="3"/>
  <c r="C1394" i="3"/>
  <c r="Q1393" i="3"/>
  <c r="M1393" i="3"/>
  <c r="I1393" i="3"/>
  <c r="E1393" i="3"/>
  <c r="C1393" i="3"/>
  <c r="Q1392" i="3"/>
  <c r="M1392" i="3"/>
  <c r="I1392" i="3"/>
  <c r="E1392" i="3"/>
  <c r="C1392" i="3"/>
  <c r="Q1391" i="3"/>
  <c r="M1391" i="3"/>
  <c r="I1391" i="3"/>
  <c r="E1391" i="3"/>
  <c r="C1391" i="3"/>
  <c r="Q1390" i="3"/>
  <c r="M1390" i="3"/>
  <c r="I1390" i="3"/>
  <c r="E1390" i="3"/>
  <c r="C1390" i="3"/>
  <c r="Q1389" i="3"/>
  <c r="M1389" i="3"/>
  <c r="I1389" i="3"/>
  <c r="E1389" i="3"/>
  <c r="C1389" i="3"/>
  <c r="Q1388" i="3"/>
  <c r="M1388" i="3"/>
  <c r="I1388" i="3"/>
  <c r="E1388" i="3"/>
  <c r="C1388" i="3"/>
  <c r="Q1387" i="3"/>
  <c r="M1387" i="3"/>
  <c r="I1387" i="3"/>
  <c r="E1387" i="3"/>
  <c r="C1387" i="3"/>
  <c r="Q1386" i="3"/>
  <c r="M1386" i="3"/>
  <c r="I1386" i="3"/>
  <c r="E1386" i="3"/>
  <c r="C1386" i="3"/>
  <c r="Q1385" i="3"/>
  <c r="M1385" i="3"/>
  <c r="I1385" i="3"/>
  <c r="E1385" i="3"/>
  <c r="C1385" i="3"/>
  <c r="Q1384" i="3"/>
  <c r="M1384" i="3"/>
  <c r="I1384" i="3"/>
  <c r="E1384" i="3"/>
  <c r="C1384" i="3"/>
  <c r="Q1383" i="3"/>
  <c r="M1383" i="3"/>
  <c r="I1383" i="3"/>
  <c r="E1383" i="3"/>
  <c r="C1383" i="3"/>
  <c r="Q1382" i="3"/>
  <c r="M1382" i="3"/>
  <c r="I1382" i="3"/>
  <c r="E1382" i="3"/>
  <c r="C1382" i="3"/>
  <c r="Q1381" i="3"/>
  <c r="M1381" i="3"/>
  <c r="I1381" i="3"/>
  <c r="E1381" i="3"/>
  <c r="C1381" i="3"/>
  <c r="Q1380" i="3"/>
  <c r="M1380" i="3"/>
  <c r="I1380" i="3"/>
  <c r="E1380" i="3"/>
  <c r="C1380" i="3"/>
  <c r="Q1379" i="3"/>
  <c r="M1379" i="3"/>
  <c r="I1379" i="3"/>
  <c r="E1379" i="3"/>
  <c r="C1379" i="3"/>
  <c r="Q1378" i="3"/>
  <c r="M1378" i="3"/>
  <c r="I1378" i="3"/>
  <c r="E1378" i="3"/>
  <c r="C1378" i="3"/>
  <c r="Q1377" i="3"/>
  <c r="M1377" i="3"/>
  <c r="I1377" i="3"/>
  <c r="E1377" i="3"/>
  <c r="C1377" i="3"/>
  <c r="Q1376" i="3"/>
  <c r="M1376" i="3"/>
  <c r="I1376" i="3"/>
  <c r="E1376" i="3"/>
  <c r="C1376" i="3"/>
  <c r="Q1375" i="3"/>
  <c r="M1375" i="3"/>
  <c r="I1375" i="3"/>
  <c r="E1375" i="3"/>
  <c r="C1375" i="3"/>
  <c r="Q1374" i="3"/>
  <c r="M1374" i="3"/>
  <c r="I1374" i="3"/>
  <c r="E1374" i="3"/>
  <c r="C1374" i="3"/>
  <c r="Q1373" i="3"/>
  <c r="M1373" i="3"/>
  <c r="I1373" i="3"/>
  <c r="E1373" i="3"/>
  <c r="C1373" i="3"/>
  <c r="Q1372" i="3"/>
  <c r="M1372" i="3"/>
  <c r="I1372" i="3"/>
  <c r="E1372" i="3"/>
  <c r="C1372" i="3"/>
  <c r="Q1371" i="3"/>
  <c r="M1371" i="3"/>
  <c r="I1371" i="3"/>
  <c r="E1371" i="3"/>
  <c r="C1371" i="3"/>
  <c r="Q1370" i="3"/>
  <c r="M1370" i="3"/>
  <c r="I1370" i="3"/>
  <c r="E1370" i="3"/>
  <c r="C1370" i="3"/>
  <c r="Q1369" i="3"/>
  <c r="M1369" i="3"/>
  <c r="I1369" i="3"/>
  <c r="E1369" i="3"/>
  <c r="C1369" i="3"/>
  <c r="Q1368" i="3"/>
  <c r="M1368" i="3"/>
  <c r="I1368" i="3"/>
  <c r="E1368" i="3"/>
  <c r="C1368" i="3"/>
  <c r="Q1367" i="3"/>
  <c r="M1367" i="3"/>
  <c r="I1367" i="3"/>
  <c r="E1367" i="3"/>
  <c r="C1367" i="3"/>
  <c r="Q1366" i="3"/>
  <c r="M1366" i="3"/>
  <c r="I1366" i="3"/>
  <c r="E1366" i="3"/>
  <c r="C1366" i="3"/>
  <c r="Q1365" i="3"/>
  <c r="M1365" i="3"/>
  <c r="I1365" i="3"/>
  <c r="E1365" i="3"/>
  <c r="C1365" i="3"/>
  <c r="Q1364" i="3"/>
  <c r="M1364" i="3"/>
  <c r="I1364" i="3"/>
  <c r="E1364" i="3"/>
  <c r="C1364" i="3"/>
  <c r="Q1363" i="3"/>
  <c r="M1363" i="3"/>
  <c r="I1363" i="3"/>
  <c r="E1363" i="3"/>
  <c r="C1363" i="3"/>
  <c r="Q1362" i="3"/>
  <c r="M1362" i="3"/>
  <c r="I1362" i="3"/>
  <c r="E1362" i="3"/>
  <c r="C1362" i="3"/>
  <c r="Q1361" i="3"/>
  <c r="M1361" i="3"/>
  <c r="I1361" i="3"/>
  <c r="E1361" i="3"/>
  <c r="C1361" i="3"/>
  <c r="Q1360" i="3"/>
  <c r="M1360" i="3"/>
  <c r="I1360" i="3"/>
  <c r="E1360" i="3"/>
  <c r="C1360" i="3"/>
  <c r="Q1359" i="3"/>
  <c r="M1359" i="3"/>
  <c r="I1359" i="3"/>
  <c r="E1359" i="3"/>
  <c r="C1359" i="3"/>
  <c r="Q1358" i="3"/>
  <c r="M1358" i="3"/>
  <c r="I1358" i="3"/>
  <c r="E1358" i="3"/>
  <c r="C1358" i="3"/>
  <c r="Q1357" i="3"/>
  <c r="M1357" i="3"/>
  <c r="I1357" i="3"/>
  <c r="E1357" i="3"/>
  <c r="C1357" i="3"/>
  <c r="Q1356" i="3"/>
  <c r="M1356" i="3"/>
  <c r="I1356" i="3"/>
  <c r="E1356" i="3"/>
  <c r="C1356" i="3"/>
  <c r="Q1355" i="3"/>
  <c r="M1355" i="3"/>
  <c r="I1355" i="3"/>
  <c r="E1355" i="3"/>
  <c r="C1355" i="3"/>
  <c r="Q1354" i="3"/>
  <c r="M1354" i="3"/>
  <c r="I1354" i="3"/>
  <c r="E1354" i="3"/>
  <c r="C1354" i="3"/>
  <c r="Q1353" i="3"/>
  <c r="M1353" i="3"/>
  <c r="I1353" i="3"/>
  <c r="E1353" i="3"/>
  <c r="C1353" i="3"/>
  <c r="Q1352" i="3"/>
  <c r="M1352" i="3"/>
  <c r="I1352" i="3"/>
  <c r="E1352" i="3"/>
  <c r="C1352" i="3"/>
  <c r="Q1351" i="3"/>
  <c r="M1351" i="3"/>
  <c r="I1351" i="3"/>
  <c r="E1351" i="3"/>
  <c r="C1351" i="3"/>
  <c r="Q1350" i="3"/>
  <c r="M1350" i="3"/>
  <c r="I1350" i="3"/>
  <c r="E1350" i="3"/>
  <c r="C1350" i="3"/>
  <c r="Q1349" i="3"/>
  <c r="M1349" i="3"/>
  <c r="I1349" i="3"/>
  <c r="E1349" i="3"/>
  <c r="C1349" i="3"/>
  <c r="Q1348" i="3"/>
  <c r="M1348" i="3"/>
  <c r="I1348" i="3"/>
  <c r="E1348" i="3"/>
  <c r="C1348" i="3"/>
  <c r="Q1347" i="3"/>
  <c r="M1347" i="3"/>
  <c r="I1347" i="3"/>
  <c r="E1347" i="3"/>
  <c r="C1347" i="3"/>
  <c r="Q1346" i="3"/>
  <c r="M1346" i="3"/>
  <c r="I1346" i="3"/>
  <c r="E1346" i="3"/>
  <c r="C1346" i="3"/>
  <c r="Q1345" i="3"/>
  <c r="M1345" i="3"/>
  <c r="I1345" i="3"/>
  <c r="E1345" i="3"/>
  <c r="C1345" i="3"/>
  <c r="Q1344" i="3"/>
  <c r="M1344" i="3"/>
  <c r="I1344" i="3"/>
  <c r="E1344" i="3"/>
  <c r="C1344" i="3"/>
  <c r="Q1343" i="3"/>
  <c r="M1343" i="3"/>
  <c r="I1343" i="3"/>
  <c r="E1343" i="3"/>
  <c r="C1343" i="3"/>
  <c r="Q1342" i="3"/>
  <c r="M1342" i="3"/>
  <c r="I1342" i="3"/>
  <c r="E1342" i="3"/>
  <c r="C1342" i="3"/>
  <c r="Q1341" i="3"/>
  <c r="M1341" i="3"/>
  <c r="I1341" i="3"/>
  <c r="E1341" i="3"/>
  <c r="C1341" i="3"/>
  <c r="Q1340" i="3"/>
  <c r="M1340" i="3"/>
  <c r="I1340" i="3"/>
  <c r="E1340" i="3"/>
  <c r="C1340" i="3"/>
  <c r="Q1339" i="3"/>
  <c r="M1339" i="3"/>
  <c r="I1339" i="3"/>
  <c r="E1339" i="3"/>
  <c r="C1339" i="3"/>
  <c r="Q1338" i="3"/>
  <c r="M1338" i="3"/>
  <c r="I1338" i="3"/>
  <c r="E1338" i="3"/>
  <c r="C1338" i="3"/>
  <c r="Q1337" i="3"/>
  <c r="M1337" i="3"/>
  <c r="I1337" i="3"/>
  <c r="E1337" i="3"/>
  <c r="C1337" i="3"/>
  <c r="Q1336" i="3"/>
  <c r="M1336" i="3"/>
  <c r="I1336" i="3"/>
  <c r="E1336" i="3"/>
  <c r="C1336" i="3"/>
  <c r="Q1335" i="3"/>
  <c r="M1335" i="3"/>
  <c r="I1335" i="3"/>
  <c r="E1335" i="3"/>
  <c r="C1335" i="3"/>
  <c r="Q1334" i="3"/>
  <c r="M1334" i="3"/>
  <c r="I1334" i="3"/>
  <c r="E1334" i="3"/>
  <c r="C1334" i="3"/>
  <c r="Q1333" i="3"/>
  <c r="M1333" i="3"/>
  <c r="I1333" i="3"/>
  <c r="E1333" i="3"/>
  <c r="C1333" i="3"/>
  <c r="Q1332" i="3"/>
  <c r="M1332" i="3"/>
  <c r="I1332" i="3"/>
  <c r="E1332" i="3"/>
  <c r="C1332" i="3"/>
  <c r="Q1331" i="3"/>
  <c r="M1331" i="3"/>
  <c r="I1331" i="3"/>
  <c r="E1331" i="3"/>
  <c r="C1331" i="3"/>
  <c r="Q1330" i="3"/>
  <c r="M1330" i="3"/>
  <c r="I1330" i="3"/>
  <c r="E1330" i="3"/>
  <c r="C1330" i="3"/>
  <c r="Q1329" i="3"/>
  <c r="M1329" i="3"/>
  <c r="I1329" i="3"/>
  <c r="E1329" i="3"/>
  <c r="C1329" i="3"/>
  <c r="Q1328" i="3"/>
  <c r="M1328" i="3"/>
  <c r="I1328" i="3"/>
  <c r="E1328" i="3"/>
  <c r="C1328" i="3"/>
  <c r="Q1327" i="3"/>
  <c r="M1327" i="3"/>
  <c r="I1327" i="3"/>
  <c r="E1327" i="3"/>
  <c r="C1327" i="3"/>
  <c r="Q1326" i="3"/>
  <c r="M1326" i="3"/>
  <c r="I1326" i="3"/>
  <c r="E1326" i="3"/>
  <c r="C1326" i="3"/>
  <c r="Q1325" i="3"/>
  <c r="M1325" i="3"/>
  <c r="I1325" i="3"/>
  <c r="E1325" i="3"/>
  <c r="C1325" i="3"/>
  <c r="Q1324" i="3"/>
  <c r="M1324" i="3"/>
  <c r="I1324" i="3"/>
  <c r="E1324" i="3"/>
  <c r="C1324" i="3"/>
  <c r="Q1323" i="3"/>
  <c r="M1323" i="3"/>
  <c r="I1323" i="3"/>
  <c r="E1323" i="3"/>
  <c r="C1323" i="3"/>
  <c r="Q1322" i="3"/>
  <c r="M1322" i="3"/>
  <c r="I1322" i="3"/>
  <c r="E1322" i="3"/>
  <c r="C1322" i="3"/>
  <c r="Q1321" i="3"/>
  <c r="M1321" i="3"/>
  <c r="I1321" i="3"/>
  <c r="E1321" i="3"/>
  <c r="C1321" i="3"/>
  <c r="Q1320" i="3"/>
  <c r="M1320" i="3"/>
  <c r="I1320" i="3"/>
  <c r="E1320" i="3"/>
  <c r="C1320" i="3"/>
  <c r="Q1319" i="3"/>
  <c r="M1319" i="3"/>
  <c r="I1319" i="3"/>
  <c r="E1319" i="3"/>
  <c r="C1319" i="3"/>
  <c r="Q1318" i="3"/>
  <c r="M1318" i="3"/>
  <c r="I1318" i="3"/>
  <c r="E1318" i="3"/>
  <c r="C1318" i="3"/>
  <c r="Q1317" i="3"/>
  <c r="M1317" i="3"/>
  <c r="I1317" i="3"/>
  <c r="E1317" i="3"/>
  <c r="C1317" i="3"/>
  <c r="Q1316" i="3"/>
  <c r="M1316" i="3"/>
  <c r="I1316" i="3"/>
  <c r="E1316" i="3"/>
  <c r="C1316" i="3"/>
  <c r="Q1315" i="3"/>
  <c r="M1315" i="3"/>
  <c r="I1315" i="3"/>
  <c r="E1315" i="3"/>
  <c r="C1315" i="3"/>
  <c r="Q1314" i="3"/>
  <c r="M1314" i="3"/>
  <c r="I1314" i="3"/>
  <c r="E1314" i="3"/>
  <c r="C1314" i="3"/>
  <c r="Q1313" i="3"/>
  <c r="M1313" i="3"/>
  <c r="I1313" i="3"/>
  <c r="E1313" i="3"/>
  <c r="C1313" i="3"/>
  <c r="Q1312" i="3"/>
  <c r="M1312" i="3"/>
  <c r="I1312" i="3"/>
  <c r="E1312" i="3"/>
  <c r="C1312" i="3"/>
  <c r="Q1311" i="3"/>
  <c r="M1311" i="3"/>
  <c r="I1311" i="3"/>
  <c r="E1311" i="3"/>
  <c r="C1311" i="3"/>
  <c r="Q1310" i="3"/>
  <c r="M1310" i="3"/>
  <c r="I1310" i="3"/>
  <c r="E1310" i="3"/>
  <c r="C1310" i="3"/>
  <c r="Q1309" i="3"/>
  <c r="M1309" i="3"/>
  <c r="I1309" i="3"/>
  <c r="E1309" i="3"/>
  <c r="C1309" i="3"/>
  <c r="Q1308" i="3"/>
  <c r="M1308" i="3"/>
  <c r="I1308" i="3"/>
  <c r="E1308" i="3"/>
  <c r="C1308" i="3"/>
  <c r="Q1307" i="3"/>
  <c r="M1307" i="3"/>
  <c r="I1307" i="3"/>
  <c r="E1307" i="3"/>
  <c r="C1307" i="3"/>
  <c r="Q1306" i="3"/>
  <c r="M1306" i="3"/>
  <c r="I1306" i="3"/>
  <c r="E1306" i="3"/>
  <c r="C1306" i="3"/>
  <c r="Q1305" i="3"/>
  <c r="M1305" i="3"/>
  <c r="I1305" i="3"/>
  <c r="E1305" i="3"/>
  <c r="C1305" i="3"/>
  <c r="Q1304" i="3"/>
  <c r="M1304" i="3"/>
  <c r="I1304" i="3"/>
  <c r="E1304" i="3"/>
  <c r="C1304" i="3"/>
  <c r="Q1303" i="3"/>
  <c r="M1303" i="3"/>
  <c r="I1303" i="3"/>
  <c r="E1303" i="3"/>
  <c r="C1303" i="3"/>
  <c r="Q1302" i="3"/>
  <c r="M1302" i="3"/>
  <c r="I1302" i="3"/>
  <c r="E1302" i="3"/>
  <c r="C1302" i="3"/>
  <c r="Q1301" i="3"/>
  <c r="M1301" i="3"/>
  <c r="I1301" i="3"/>
  <c r="E1301" i="3"/>
  <c r="C1301" i="3"/>
  <c r="Q1300" i="3"/>
  <c r="M1300" i="3"/>
  <c r="I1300" i="3"/>
  <c r="E1300" i="3"/>
  <c r="C1300" i="3"/>
  <c r="Q1299" i="3"/>
  <c r="M1299" i="3"/>
  <c r="I1299" i="3"/>
  <c r="E1299" i="3"/>
  <c r="C1299" i="3"/>
  <c r="Q1298" i="3"/>
  <c r="M1298" i="3"/>
  <c r="I1298" i="3"/>
  <c r="E1298" i="3"/>
  <c r="C1298" i="3"/>
  <c r="Q1297" i="3"/>
  <c r="M1297" i="3"/>
  <c r="I1297" i="3"/>
  <c r="E1297" i="3"/>
  <c r="C1297" i="3"/>
  <c r="Q1296" i="3"/>
  <c r="M1296" i="3"/>
  <c r="I1296" i="3"/>
  <c r="E1296" i="3"/>
  <c r="C1296" i="3"/>
  <c r="Q1295" i="3"/>
  <c r="M1295" i="3"/>
  <c r="I1295" i="3"/>
  <c r="E1295" i="3"/>
  <c r="C1295" i="3"/>
  <c r="Q1294" i="3"/>
  <c r="M1294" i="3"/>
  <c r="I1294" i="3"/>
  <c r="E1294" i="3"/>
  <c r="C1294" i="3"/>
  <c r="Q1293" i="3"/>
  <c r="M1293" i="3"/>
  <c r="I1293" i="3"/>
  <c r="E1293" i="3"/>
  <c r="C1293" i="3"/>
  <c r="Q1292" i="3"/>
  <c r="M1292" i="3"/>
  <c r="I1292" i="3"/>
  <c r="E1292" i="3"/>
  <c r="C1292" i="3"/>
  <c r="Q1291" i="3"/>
  <c r="M1291" i="3"/>
  <c r="I1291" i="3"/>
  <c r="E1291" i="3"/>
  <c r="C1291" i="3"/>
  <c r="Q1290" i="3"/>
  <c r="M1290" i="3"/>
  <c r="I1290" i="3"/>
  <c r="E1290" i="3"/>
  <c r="C1290" i="3"/>
  <c r="Q1289" i="3"/>
  <c r="M1289" i="3"/>
  <c r="I1289" i="3"/>
  <c r="E1289" i="3"/>
  <c r="C1289" i="3"/>
  <c r="Q1288" i="3"/>
  <c r="M1288" i="3"/>
  <c r="I1288" i="3"/>
  <c r="E1288" i="3"/>
  <c r="C1288" i="3"/>
  <c r="Q1287" i="3"/>
  <c r="M1287" i="3"/>
  <c r="I1287" i="3"/>
  <c r="E1287" i="3"/>
  <c r="C1287" i="3"/>
  <c r="Q1286" i="3"/>
  <c r="M1286" i="3"/>
  <c r="I1286" i="3"/>
  <c r="E1286" i="3"/>
  <c r="C1286" i="3"/>
  <c r="Q1285" i="3"/>
  <c r="M1285" i="3"/>
  <c r="I1285" i="3"/>
  <c r="E1285" i="3"/>
  <c r="C1285" i="3"/>
  <c r="Q1284" i="3"/>
  <c r="M1284" i="3"/>
  <c r="I1284" i="3"/>
  <c r="E1284" i="3"/>
  <c r="C1284" i="3"/>
  <c r="Q1283" i="3"/>
  <c r="M1283" i="3"/>
  <c r="I1283" i="3"/>
  <c r="E1283" i="3"/>
  <c r="C1283" i="3"/>
  <c r="Q1282" i="3"/>
  <c r="M1282" i="3"/>
  <c r="I1282" i="3"/>
  <c r="E1282" i="3"/>
  <c r="C1282" i="3"/>
  <c r="Q1281" i="3"/>
  <c r="M1281" i="3"/>
  <c r="I1281" i="3"/>
  <c r="E1281" i="3"/>
  <c r="C1281" i="3"/>
  <c r="Q1280" i="3"/>
  <c r="M1280" i="3"/>
  <c r="I1280" i="3"/>
  <c r="E1280" i="3"/>
  <c r="C1280" i="3"/>
  <c r="Q1279" i="3"/>
  <c r="M1279" i="3"/>
  <c r="I1279" i="3"/>
  <c r="E1279" i="3"/>
  <c r="C1279" i="3"/>
  <c r="Q1278" i="3"/>
  <c r="M1278" i="3"/>
  <c r="I1278" i="3"/>
  <c r="E1278" i="3"/>
  <c r="C1278" i="3"/>
  <c r="Q1277" i="3"/>
  <c r="M1277" i="3"/>
  <c r="I1277" i="3"/>
  <c r="E1277" i="3"/>
  <c r="C1277" i="3"/>
  <c r="Q1276" i="3"/>
  <c r="M1276" i="3"/>
  <c r="I1276" i="3"/>
  <c r="E1276" i="3"/>
  <c r="C1276" i="3"/>
  <c r="Q1275" i="3"/>
  <c r="M1275" i="3"/>
  <c r="I1275" i="3"/>
  <c r="E1275" i="3"/>
  <c r="C1275" i="3"/>
  <c r="Q1274" i="3"/>
  <c r="M1274" i="3"/>
  <c r="I1274" i="3"/>
  <c r="E1274" i="3"/>
  <c r="C1274" i="3"/>
  <c r="Q1273" i="3"/>
  <c r="M1273" i="3"/>
  <c r="I1273" i="3"/>
  <c r="E1273" i="3"/>
  <c r="C1273" i="3"/>
  <c r="Q1272" i="3"/>
  <c r="M1272" i="3"/>
  <c r="I1272" i="3"/>
  <c r="E1272" i="3"/>
  <c r="C1272" i="3"/>
  <c r="Q1271" i="3"/>
  <c r="M1271" i="3"/>
  <c r="I1271" i="3"/>
  <c r="E1271" i="3"/>
  <c r="C1271" i="3"/>
  <c r="Q1270" i="3"/>
  <c r="M1270" i="3"/>
  <c r="I1270" i="3"/>
  <c r="E1270" i="3"/>
  <c r="C1270" i="3"/>
  <c r="Q1269" i="3"/>
  <c r="M1269" i="3"/>
  <c r="I1269" i="3"/>
  <c r="E1269" i="3"/>
  <c r="C1269" i="3"/>
  <c r="Q1268" i="3"/>
  <c r="M1268" i="3"/>
  <c r="I1268" i="3"/>
  <c r="E1268" i="3"/>
  <c r="C1268" i="3"/>
  <c r="Q1267" i="3"/>
  <c r="M1267" i="3"/>
  <c r="I1267" i="3"/>
  <c r="E1267" i="3"/>
  <c r="C1267" i="3"/>
  <c r="Q1266" i="3"/>
  <c r="M1266" i="3"/>
  <c r="I1266" i="3"/>
  <c r="E1266" i="3"/>
  <c r="C1266" i="3"/>
  <c r="Q1265" i="3"/>
  <c r="M1265" i="3"/>
  <c r="I1265" i="3"/>
  <c r="E1265" i="3"/>
  <c r="C1265" i="3"/>
  <c r="Q1264" i="3"/>
  <c r="M1264" i="3"/>
  <c r="I1264" i="3"/>
  <c r="E1264" i="3"/>
  <c r="C1264" i="3"/>
  <c r="Q1263" i="3"/>
  <c r="M1263" i="3"/>
  <c r="I1263" i="3"/>
  <c r="E1263" i="3"/>
  <c r="C1263" i="3"/>
  <c r="Q1262" i="3"/>
  <c r="M1262" i="3"/>
  <c r="I1262" i="3"/>
  <c r="E1262" i="3"/>
  <c r="C1262" i="3"/>
  <c r="Q1261" i="3"/>
  <c r="M1261" i="3"/>
  <c r="I1261" i="3"/>
  <c r="E1261" i="3"/>
  <c r="C1261" i="3"/>
  <c r="Q1260" i="3"/>
  <c r="M1260" i="3"/>
  <c r="I1260" i="3"/>
  <c r="E1260" i="3"/>
  <c r="C1260" i="3"/>
  <c r="Q1259" i="3"/>
  <c r="M1259" i="3"/>
  <c r="I1259" i="3"/>
  <c r="E1259" i="3"/>
  <c r="C1259" i="3"/>
  <c r="Q1258" i="3"/>
  <c r="M1258" i="3"/>
  <c r="I1258" i="3"/>
  <c r="E1258" i="3"/>
  <c r="C1258" i="3"/>
  <c r="Q1257" i="3"/>
  <c r="M1257" i="3"/>
  <c r="I1257" i="3"/>
  <c r="E1257" i="3"/>
  <c r="C1257" i="3"/>
  <c r="Q1256" i="3"/>
  <c r="M1256" i="3"/>
  <c r="I1256" i="3"/>
  <c r="E1256" i="3"/>
  <c r="C1256" i="3"/>
  <c r="Q1255" i="3"/>
  <c r="M1255" i="3"/>
  <c r="I1255" i="3"/>
  <c r="E1255" i="3"/>
  <c r="C1255" i="3"/>
  <c r="Q1254" i="3"/>
  <c r="M1254" i="3"/>
  <c r="I1254" i="3"/>
  <c r="E1254" i="3"/>
  <c r="C1254" i="3"/>
  <c r="Q1253" i="3"/>
  <c r="M1253" i="3"/>
  <c r="I1253" i="3"/>
  <c r="E1253" i="3"/>
  <c r="C1253" i="3"/>
  <c r="Q1252" i="3"/>
  <c r="M1252" i="3"/>
  <c r="I1252" i="3"/>
  <c r="E1252" i="3"/>
  <c r="C1252" i="3"/>
  <c r="Q1251" i="3"/>
  <c r="M1251" i="3"/>
  <c r="I1251" i="3"/>
  <c r="E1251" i="3"/>
  <c r="C1251" i="3"/>
  <c r="Q1250" i="3"/>
  <c r="M1250" i="3"/>
  <c r="I1250" i="3"/>
  <c r="E1250" i="3"/>
  <c r="C1250" i="3"/>
  <c r="Q1249" i="3"/>
  <c r="M1249" i="3"/>
  <c r="I1249" i="3"/>
  <c r="E1249" i="3"/>
  <c r="C1249" i="3"/>
  <c r="Q1248" i="3"/>
  <c r="M1248" i="3"/>
  <c r="I1248" i="3"/>
  <c r="E1248" i="3"/>
  <c r="C1248" i="3"/>
  <c r="Q1247" i="3"/>
  <c r="M1247" i="3"/>
  <c r="I1247" i="3"/>
  <c r="E1247" i="3"/>
  <c r="C1247" i="3"/>
  <c r="Q1246" i="3"/>
  <c r="M1246" i="3"/>
  <c r="I1246" i="3"/>
  <c r="E1246" i="3"/>
  <c r="C1246" i="3"/>
  <c r="Q1245" i="3"/>
  <c r="M1245" i="3"/>
  <c r="I1245" i="3"/>
  <c r="E1245" i="3"/>
  <c r="C1245" i="3"/>
  <c r="Q1244" i="3"/>
  <c r="M1244" i="3"/>
  <c r="I1244" i="3"/>
  <c r="E1244" i="3"/>
  <c r="C1244" i="3"/>
  <c r="Q1243" i="3"/>
  <c r="M1243" i="3"/>
  <c r="I1243" i="3"/>
  <c r="E1243" i="3"/>
  <c r="C1243" i="3"/>
  <c r="Q1242" i="3"/>
  <c r="M1242" i="3"/>
  <c r="I1242" i="3"/>
  <c r="E1242" i="3"/>
  <c r="C1242" i="3"/>
  <c r="Q1241" i="3"/>
  <c r="M1241" i="3"/>
  <c r="I1241" i="3"/>
  <c r="E1241" i="3"/>
  <c r="C1241" i="3"/>
  <c r="Q1240" i="3"/>
  <c r="M1240" i="3"/>
  <c r="I1240" i="3"/>
  <c r="E1240" i="3"/>
  <c r="C1240" i="3"/>
  <c r="Q1239" i="3"/>
  <c r="M1239" i="3"/>
  <c r="I1239" i="3"/>
  <c r="E1239" i="3"/>
  <c r="C1239" i="3"/>
  <c r="Q1238" i="3"/>
  <c r="M1238" i="3"/>
  <c r="I1238" i="3"/>
  <c r="E1238" i="3"/>
  <c r="C1238" i="3"/>
  <c r="Q1237" i="3"/>
  <c r="M1237" i="3"/>
  <c r="I1237" i="3"/>
  <c r="E1237" i="3"/>
  <c r="C1237" i="3"/>
  <c r="Q1236" i="3"/>
  <c r="M1236" i="3"/>
  <c r="I1236" i="3"/>
  <c r="E1236" i="3"/>
  <c r="C1236" i="3"/>
  <c r="Q1235" i="3"/>
  <c r="M1235" i="3"/>
  <c r="I1235" i="3"/>
  <c r="E1235" i="3"/>
  <c r="C1235" i="3"/>
  <c r="Q1234" i="3"/>
  <c r="M1234" i="3"/>
  <c r="I1234" i="3"/>
  <c r="E1234" i="3"/>
  <c r="C1234" i="3"/>
  <c r="Q1233" i="3"/>
  <c r="M1233" i="3"/>
  <c r="I1233" i="3"/>
  <c r="E1233" i="3"/>
  <c r="C1233" i="3"/>
  <c r="Q1232" i="3"/>
  <c r="M1232" i="3"/>
  <c r="I1232" i="3"/>
  <c r="E1232" i="3"/>
  <c r="C1232" i="3"/>
  <c r="Q1231" i="3"/>
  <c r="M1231" i="3"/>
  <c r="I1231" i="3"/>
  <c r="E1231" i="3"/>
  <c r="C1231" i="3"/>
  <c r="Q1230" i="3"/>
  <c r="M1230" i="3"/>
  <c r="I1230" i="3"/>
  <c r="E1230" i="3"/>
  <c r="C1230" i="3"/>
  <c r="Q1229" i="3"/>
  <c r="M1229" i="3"/>
  <c r="I1229" i="3"/>
  <c r="E1229" i="3"/>
  <c r="C1229" i="3"/>
  <c r="Q1228" i="3"/>
  <c r="M1228" i="3"/>
  <c r="I1228" i="3"/>
  <c r="E1228" i="3"/>
  <c r="C1228" i="3"/>
  <c r="Q1227" i="3"/>
  <c r="M1227" i="3"/>
  <c r="I1227" i="3"/>
  <c r="E1227" i="3"/>
  <c r="C1227" i="3"/>
  <c r="Q1226" i="3"/>
  <c r="M1226" i="3"/>
  <c r="I1226" i="3"/>
  <c r="E1226" i="3"/>
  <c r="C1226" i="3"/>
  <c r="Q1225" i="3"/>
  <c r="M1225" i="3"/>
  <c r="I1225" i="3"/>
  <c r="E1225" i="3"/>
  <c r="C1225" i="3"/>
  <c r="Q1224" i="3"/>
  <c r="M1224" i="3"/>
  <c r="I1224" i="3"/>
  <c r="E1224" i="3"/>
  <c r="C1224" i="3"/>
  <c r="Q1223" i="3"/>
  <c r="M1223" i="3"/>
  <c r="I1223" i="3"/>
  <c r="E1223" i="3"/>
  <c r="C1223" i="3"/>
  <c r="Q1222" i="3"/>
  <c r="M1222" i="3"/>
  <c r="I1222" i="3"/>
  <c r="E1222" i="3"/>
  <c r="C1222" i="3"/>
  <c r="Q1221" i="3"/>
  <c r="M1221" i="3"/>
  <c r="I1221" i="3"/>
  <c r="E1221" i="3"/>
  <c r="C1221" i="3"/>
  <c r="Q1220" i="3"/>
  <c r="M1220" i="3"/>
  <c r="I1220" i="3"/>
  <c r="E1220" i="3"/>
  <c r="C1220" i="3"/>
  <c r="Q1219" i="3"/>
  <c r="M1219" i="3"/>
  <c r="I1219" i="3"/>
  <c r="E1219" i="3"/>
  <c r="C1219" i="3"/>
  <c r="Q1218" i="3"/>
  <c r="M1218" i="3"/>
  <c r="I1218" i="3"/>
  <c r="E1218" i="3"/>
  <c r="C1218" i="3"/>
  <c r="Q1217" i="3"/>
  <c r="M1217" i="3"/>
  <c r="I1217" i="3"/>
  <c r="E1217" i="3"/>
  <c r="C1217" i="3"/>
  <c r="Q1216" i="3"/>
  <c r="M1216" i="3"/>
  <c r="I1216" i="3"/>
  <c r="E1216" i="3"/>
  <c r="C1216" i="3"/>
  <c r="Q1215" i="3"/>
  <c r="M1215" i="3"/>
  <c r="I1215" i="3"/>
  <c r="E1215" i="3"/>
  <c r="C1215" i="3"/>
  <c r="Q1214" i="3"/>
  <c r="M1214" i="3"/>
  <c r="I1214" i="3"/>
  <c r="E1214" i="3"/>
  <c r="C1214" i="3"/>
  <c r="Q1213" i="3"/>
  <c r="M1213" i="3"/>
  <c r="I1213" i="3"/>
  <c r="E1213" i="3"/>
  <c r="C1213" i="3"/>
  <c r="Q1212" i="3"/>
  <c r="M1212" i="3"/>
  <c r="I1212" i="3"/>
  <c r="E1212" i="3"/>
  <c r="C1212" i="3"/>
  <c r="Q1211" i="3"/>
  <c r="M1211" i="3"/>
  <c r="I1211" i="3"/>
  <c r="E1211" i="3"/>
  <c r="C1211" i="3"/>
  <c r="Q1210" i="3"/>
  <c r="M1210" i="3"/>
  <c r="I1210" i="3"/>
  <c r="E1210" i="3"/>
  <c r="C1210" i="3"/>
  <c r="Q1209" i="3"/>
  <c r="M1209" i="3"/>
  <c r="I1209" i="3"/>
  <c r="E1209" i="3"/>
  <c r="C1209" i="3"/>
  <c r="Q1208" i="3"/>
  <c r="M1208" i="3"/>
  <c r="I1208" i="3"/>
  <c r="E1208" i="3"/>
  <c r="C1208" i="3"/>
  <c r="Q1207" i="3"/>
  <c r="M1207" i="3"/>
  <c r="I1207" i="3"/>
  <c r="E1207" i="3"/>
  <c r="C1207" i="3"/>
  <c r="Q1206" i="3"/>
  <c r="M1206" i="3"/>
  <c r="I1206" i="3"/>
  <c r="E1206" i="3"/>
  <c r="C1206" i="3"/>
  <c r="Q1205" i="3"/>
  <c r="M1205" i="3"/>
  <c r="I1205" i="3"/>
  <c r="E1205" i="3"/>
  <c r="C1205" i="3"/>
  <c r="Q1204" i="3"/>
  <c r="M1204" i="3"/>
  <c r="I1204" i="3"/>
  <c r="E1204" i="3"/>
  <c r="C1204" i="3"/>
  <c r="Q1203" i="3"/>
  <c r="M1203" i="3"/>
  <c r="I1203" i="3"/>
  <c r="E1203" i="3"/>
  <c r="C1203" i="3"/>
  <c r="Q1202" i="3"/>
  <c r="M1202" i="3"/>
  <c r="I1202" i="3"/>
  <c r="E1202" i="3"/>
  <c r="C1202" i="3"/>
  <c r="Q1201" i="3"/>
  <c r="M1201" i="3"/>
  <c r="I1201" i="3"/>
  <c r="E1201" i="3"/>
  <c r="C1201" i="3"/>
  <c r="Q1200" i="3"/>
  <c r="M1200" i="3"/>
  <c r="I1200" i="3"/>
  <c r="E1200" i="3"/>
  <c r="C1200" i="3"/>
  <c r="Q1199" i="3"/>
  <c r="M1199" i="3"/>
  <c r="I1199" i="3"/>
  <c r="E1199" i="3"/>
  <c r="C1199" i="3"/>
  <c r="Q1198" i="3"/>
  <c r="M1198" i="3"/>
  <c r="I1198" i="3"/>
  <c r="E1198" i="3"/>
  <c r="C1198" i="3"/>
  <c r="Q1197" i="3"/>
  <c r="M1197" i="3"/>
  <c r="I1197" i="3"/>
  <c r="E1197" i="3"/>
  <c r="C1197" i="3"/>
  <c r="Q1196" i="3"/>
  <c r="M1196" i="3"/>
  <c r="I1196" i="3"/>
  <c r="E1196" i="3"/>
  <c r="C1196" i="3"/>
  <c r="Q1195" i="3"/>
  <c r="M1195" i="3"/>
  <c r="I1195" i="3"/>
  <c r="E1195" i="3"/>
  <c r="C1195" i="3"/>
  <c r="Q1194" i="3"/>
  <c r="M1194" i="3"/>
  <c r="I1194" i="3"/>
  <c r="E1194" i="3"/>
  <c r="C1194" i="3"/>
  <c r="Q1193" i="3"/>
  <c r="M1193" i="3"/>
  <c r="I1193" i="3"/>
  <c r="E1193" i="3"/>
  <c r="C1193" i="3"/>
  <c r="Q1192" i="3"/>
  <c r="M1192" i="3"/>
  <c r="I1192" i="3"/>
  <c r="E1192" i="3"/>
  <c r="C1192" i="3"/>
  <c r="Q1191" i="3"/>
  <c r="M1191" i="3"/>
  <c r="I1191" i="3"/>
  <c r="E1191" i="3"/>
  <c r="C1191" i="3"/>
  <c r="Q1190" i="3"/>
  <c r="M1190" i="3"/>
  <c r="I1190" i="3"/>
  <c r="E1190" i="3"/>
  <c r="C1190" i="3"/>
  <c r="Q1189" i="3"/>
  <c r="M1189" i="3"/>
  <c r="I1189" i="3"/>
  <c r="E1189" i="3"/>
  <c r="C1189" i="3"/>
  <c r="Q1188" i="3"/>
  <c r="M1188" i="3"/>
  <c r="I1188" i="3"/>
  <c r="E1188" i="3"/>
  <c r="C1188" i="3"/>
  <c r="Q1187" i="3"/>
  <c r="M1187" i="3"/>
  <c r="I1187" i="3"/>
  <c r="E1187" i="3"/>
  <c r="C1187" i="3"/>
  <c r="Q1186" i="3"/>
  <c r="M1186" i="3"/>
  <c r="I1186" i="3"/>
  <c r="E1186" i="3"/>
  <c r="C1186" i="3"/>
  <c r="Q1185" i="3"/>
  <c r="M1185" i="3"/>
  <c r="I1185" i="3"/>
  <c r="E1185" i="3"/>
  <c r="C1185" i="3"/>
  <c r="Q1184" i="3"/>
  <c r="M1184" i="3"/>
  <c r="I1184" i="3"/>
  <c r="E1184" i="3"/>
  <c r="C1184" i="3"/>
  <c r="Q1183" i="3"/>
  <c r="M1183" i="3"/>
  <c r="I1183" i="3"/>
  <c r="E1183" i="3"/>
  <c r="C1183" i="3"/>
  <c r="Q1182" i="3"/>
  <c r="M1182" i="3"/>
  <c r="I1182" i="3"/>
  <c r="E1182" i="3"/>
  <c r="C1182" i="3"/>
  <c r="Q1181" i="3"/>
  <c r="M1181" i="3"/>
  <c r="I1181" i="3"/>
  <c r="E1181" i="3"/>
  <c r="C1181" i="3"/>
  <c r="Q1180" i="3"/>
  <c r="M1180" i="3"/>
  <c r="I1180" i="3"/>
  <c r="E1180" i="3"/>
  <c r="C1180" i="3"/>
  <c r="Q1179" i="3"/>
  <c r="M1179" i="3"/>
  <c r="I1179" i="3"/>
  <c r="E1179" i="3"/>
  <c r="C1179" i="3"/>
  <c r="Q1178" i="3"/>
  <c r="M1178" i="3"/>
  <c r="I1178" i="3"/>
  <c r="E1178" i="3"/>
  <c r="C1178" i="3"/>
  <c r="Q1177" i="3"/>
  <c r="M1177" i="3"/>
  <c r="I1177" i="3"/>
  <c r="E1177" i="3"/>
  <c r="C1177" i="3"/>
  <c r="Q1176" i="3"/>
  <c r="M1176" i="3"/>
  <c r="I1176" i="3"/>
  <c r="E1176" i="3"/>
  <c r="C1176" i="3"/>
  <c r="Q1175" i="3"/>
  <c r="M1175" i="3"/>
  <c r="I1175" i="3"/>
  <c r="E1175" i="3"/>
  <c r="C1175" i="3"/>
  <c r="Q1174" i="3"/>
  <c r="M1174" i="3"/>
  <c r="I1174" i="3"/>
  <c r="E1174" i="3"/>
  <c r="C1174" i="3"/>
  <c r="Q1173" i="3"/>
  <c r="M1173" i="3"/>
  <c r="I1173" i="3"/>
  <c r="E1173" i="3"/>
  <c r="C1173" i="3"/>
  <c r="Q1172" i="3"/>
  <c r="M1172" i="3"/>
  <c r="I1172" i="3"/>
  <c r="E1172" i="3"/>
  <c r="C1172" i="3"/>
  <c r="Q1171" i="3"/>
  <c r="M1171" i="3"/>
  <c r="I1171" i="3"/>
  <c r="E1171" i="3"/>
  <c r="C1171" i="3"/>
  <c r="Q1170" i="3"/>
  <c r="M1170" i="3"/>
  <c r="I1170" i="3"/>
  <c r="E1170" i="3"/>
  <c r="C1170" i="3"/>
  <c r="Q1169" i="3"/>
  <c r="M1169" i="3"/>
  <c r="I1169" i="3"/>
  <c r="E1169" i="3"/>
  <c r="C1169" i="3"/>
  <c r="Q1168" i="3"/>
  <c r="M1168" i="3"/>
  <c r="I1168" i="3"/>
  <c r="E1168" i="3"/>
  <c r="C1168" i="3"/>
  <c r="Q1167" i="3"/>
  <c r="M1167" i="3"/>
  <c r="I1167" i="3"/>
  <c r="E1167" i="3"/>
  <c r="C1167" i="3"/>
  <c r="Q1166" i="3"/>
  <c r="M1166" i="3"/>
  <c r="I1166" i="3"/>
  <c r="E1166" i="3"/>
  <c r="C1166" i="3"/>
  <c r="Q1165" i="3"/>
  <c r="M1165" i="3"/>
  <c r="I1165" i="3"/>
  <c r="E1165" i="3"/>
  <c r="C1165" i="3"/>
  <c r="Q1164" i="3"/>
  <c r="M1164" i="3"/>
  <c r="I1164" i="3"/>
  <c r="E1164" i="3"/>
  <c r="C1164" i="3"/>
  <c r="Q1163" i="3"/>
  <c r="M1163" i="3"/>
  <c r="I1163" i="3"/>
  <c r="E1163" i="3"/>
  <c r="C1163" i="3"/>
  <c r="Q1162" i="3"/>
  <c r="M1162" i="3"/>
  <c r="I1162" i="3"/>
  <c r="E1162" i="3"/>
  <c r="C1162" i="3"/>
  <c r="Q1161" i="3"/>
  <c r="M1161" i="3"/>
  <c r="I1161" i="3"/>
  <c r="E1161" i="3"/>
  <c r="C1161" i="3"/>
  <c r="Q1160" i="3"/>
  <c r="M1160" i="3"/>
  <c r="I1160" i="3"/>
  <c r="E1160" i="3"/>
  <c r="C1160" i="3"/>
  <c r="Q1159" i="3"/>
  <c r="M1159" i="3"/>
  <c r="I1159" i="3"/>
  <c r="E1159" i="3"/>
  <c r="C1159" i="3"/>
  <c r="Q1158" i="3"/>
  <c r="M1158" i="3"/>
  <c r="I1158" i="3"/>
  <c r="E1158" i="3"/>
  <c r="C1158" i="3"/>
  <c r="Q1157" i="3"/>
  <c r="M1157" i="3"/>
  <c r="I1157" i="3"/>
  <c r="E1157" i="3"/>
  <c r="C1157" i="3"/>
  <c r="Q1156" i="3"/>
  <c r="M1156" i="3"/>
  <c r="I1156" i="3"/>
  <c r="E1156" i="3"/>
  <c r="C1156" i="3"/>
  <c r="Q1155" i="3"/>
  <c r="M1155" i="3"/>
  <c r="I1155" i="3"/>
  <c r="E1155" i="3"/>
  <c r="C1155" i="3"/>
  <c r="Q1154" i="3"/>
  <c r="M1154" i="3"/>
  <c r="I1154" i="3"/>
  <c r="E1154" i="3"/>
  <c r="C1154" i="3"/>
  <c r="Q1153" i="3"/>
  <c r="M1153" i="3"/>
  <c r="I1153" i="3"/>
  <c r="E1153" i="3"/>
  <c r="C1153" i="3"/>
  <c r="Q1152" i="3"/>
  <c r="M1152" i="3"/>
  <c r="I1152" i="3"/>
  <c r="E1152" i="3"/>
  <c r="C1152" i="3"/>
  <c r="Q1151" i="3"/>
  <c r="M1151" i="3"/>
  <c r="I1151" i="3"/>
  <c r="E1151" i="3"/>
  <c r="C1151" i="3"/>
  <c r="Q1150" i="3"/>
  <c r="M1150" i="3"/>
  <c r="I1150" i="3"/>
  <c r="E1150" i="3"/>
  <c r="C1150" i="3"/>
  <c r="Q1149" i="3"/>
  <c r="M1149" i="3"/>
  <c r="I1149" i="3"/>
  <c r="E1149" i="3"/>
  <c r="C1149" i="3"/>
  <c r="Q1148" i="3"/>
  <c r="M1148" i="3"/>
  <c r="I1148" i="3"/>
  <c r="E1148" i="3"/>
  <c r="C1148" i="3"/>
  <c r="Q1147" i="3"/>
  <c r="M1147" i="3"/>
  <c r="I1147" i="3"/>
  <c r="E1147" i="3"/>
  <c r="C1147" i="3"/>
  <c r="Q1146" i="3"/>
  <c r="M1146" i="3"/>
  <c r="I1146" i="3"/>
  <c r="E1146" i="3"/>
  <c r="C1146" i="3"/>
  <c r="Q1145" i="3"/>
  <c r="M1145" i="3"/>
  <c r="I1145" i="3"/>
  <c r="E1145" i="3"/>
  <c r="C1145" i="3"/>
  <c r="Q1144" i="3"/>
  <c r="M1144" i="3"/>
  <c r="I1144" i="3"/>
  <c r="E1144" i="3"/>
  <c r="C1144" i="3"/>
  <c r="Q1143" i="3"/>
  <c r="M1143" i="3"/>
  <c r="I1143" i="3"/>
  <c r="E1143" i="3"/>
  <c r="C1143" i="3"/>
  <c r="Q1142" i="3"/>
  <c r="M1142" i="3"/>
  <c r="I1142" i="3"/>
  <c r="E1142" i="3"/>
  <c r="C1142" i="3"/>
  <c r="Q1141" i="3"/>
  <c r="M1141" i="3"/>
  <c r="I1141" i="3"/>
  <c r="E1141" i="3"/>
  <c r="C1141" i="3"/>
  <c r="Q1140" i="3"/>
  <c r="M1140" i="3"/>
  <c r="I1140" i="3"/>
  <c r="E1140" i="3"/>
  <c r="C1140" i="3"/>
  <c r="Q1139" i="3"/>
  <c r="M1139" i="3"/>
  <c r="I1139" i="3"/>
  <c r="E1139" i="3"/>
  <c r="C1139" i="3"/>
  <c r="Q1138" i="3"/>
  <c r="M1138" i="3"/>
  <c r="I1138" i="3"/>
  <c r="E1138" i="3"/>
  <c r="C1138" i="3"/>
  <c r="Q1137" i="3"/>
  <c r="M1137" i="3"/>
  <c r="I1137" i="3"/>
  <c r="E1137" i="3"/>
  <c r="C1137" i="3"/>
  <c r="Q1136" i="3"/>
  <c r="M1136" i="3"/>
  <c r="I1136" i="3"/>
  <c r="E1136" i="3"/>
  <c r="C1136" i="3"/>
  <c r="Q1135" i="3"/>
  <c r="M1135" i="3"/>
  <c r="I1135" i="3"/>
  <c r="E1135" i="3"/>
  <c r="C1135" i="3"/>
  <c r="Q1134" i="3"/>
  <c r="M1134" i="3"/>
  <c r="I1134" i="3"/>
  <c r="E1134" i="3"/>
  <c r="C1134" i="3"/>
  <c r="Q1133" i="3"/>
  <c r="M1133" i="3"/>
  <c r="I1133" i="3"/>
  <c r="E1133" i="3"/>
  <c r="C1133" i="3"/>
  <c r="Q1132" i="3"/>
  <c r="M1132" i="3"/>
  <c r="I1132" i="3"/>
  <c r="E1132" i="3"/>
  <c r="C1132" i="3"/>
  <c r="Q1131" i="3"/>
  <c r="M1131" i="3"/>
  <c r="I1131" i="3"/>
  <c r="E1131" i="3"/>
  <c r="C1131" i="3"/>
  <c r="Q1130" i="3"/>
  <c r="M1130" i="3"/>
  <c r="I1130" i="3"/>
  <c r="E1130" i="3"/>
  <c r="C1130" i="3"/>
  <c r="Q1129" i="3"/>
  <c r="M1129" i="3"/>
  <c r="I1129" i="3"/>
  <c r="E1129" i="3"/>
  <c r="C1129" i="3"/>
  <c r="Q1128" i="3"/>
  <c r="M1128" i="3"/>
  <c r="I1128" i="3"/>
  <c r="E1128" i="3"/>
  <c r="C1128" i="3"/>
  <c r="Q1127" i="3"/>
  <c r="M1127" i="3"/>
  <c r="I1127" i="3"/>
  <c r="E1127" i="3"/>
  <c r="C1127" i="3"/>
  <c r="Q1126" i="3"/>
  <c r="M1126" i="3"/>
  <c r="I1126" i="3"/>
  <c r="E1126" i="3"/>
  <c r="C1126" i="3"/>
  <c r="Q1125" i="3"/>
  <c r="M1125" i="3"/>
  <c r="I1125" i="3"/>
  <c r="E1125" i="3"/>
  <c r="C1125" i="3"/>
  <c r="Q1124" i="3"/>
  <c r="M1124" i="3"/>
  <c r="I1124" i="3"/>
  <c r="E1124" i="3"/>
  <c r="C1124" i="3"/>
  <c r="Q1123" i="3"/>
  <c r="M1123" i="3"/>
  <c r="I1123" i="3"/>
  <c r="E1123" i="3"/>
  <c r="C1123" i="3"/>
  <c r="Q1122" i="3"/>
  <c r="M1122" i="3"/>
  <c r="I1122" i="3"/>
  <c r="E1122" i="3"/>
  <c r="C1122" i="3"/>
  <c r="Q1121" i="3"/>
  <c r="M1121" i="3"/>
  <c r="I1121" i="3"/>
  <c r="E1121" i="3"/>
  <c r="C1121" i="3"/>
  <c r="Q1120" i="3"/>
  <c r="M1120" i="3"/>
  <c r="I1120" i="3"/>
  <c r="E1120" i="3"/>
  <c r="C1120" i="3"/>
  <c r="Q1119" i="3"/>
  <c r="M1119" i="3"/>
  <c r="I1119" i="3"/>
  <c r="E1119" i="3"/>
  <c r="C1119" i="3"/>
  <c r="Q1118" i="3"/>
  <c r="M1118" i="3"/>
  <c r="I1118" i="3"/>
  <c r="E1118" i="3"/>
  <c r="C1118" i="3"/>
  <c r="Q1117" i="3"/>
  <c r="M1117" i="3"/>
  <c r="I1117" i="3"/>
  <c r="E1117" i="3"/>
  <c r="C1117" i="3"/>
  <c r="Q1116" i="3"/>
  <c r="M1116" i="3"/>
  <c r="I1116" i="3"/>
  <c r="E1116" i="3"/>
  <c r="C1116" i="3"/>
  <c r="Q1115" i="3"/>
  <c r="M1115" i="3"/>
  <c r="I1115" i="3"/>
  <c r="E1115" i="3"/>
  <c r="C1115" i="3"/>
  <c r="Q1114" i="3"/>
  <c r="M1114" i="3"/>
  <c r="I1114" i="3"/>
  <c r="E1114" i="3"/>
  <c r="C1114" i="3"/>
  <c r="Q1113" i="3"/>
  <c r="M1113" i="3"/>
  <c r="I1113" i="3"/>
  <c r="E1113" i="3"/>
  <c r="C1113" i="3"/>
  <c r="Q1112" i="3"/>
  <c r="M1112" i="3"/>
  <c r="I1112" i="3"/>
  <c r="E1112" i="3"/>
  <c r="C1112" i="3"/>
  <c r="Q1111" i="3"/>
  <c r="M1111" i="3"/>
  <c r="I1111" i="3"/>
  <c r="E1111" i="3"/>
  <c r="C1111" i="3"/>
  <c r="Q1110" i="3"/>
  <c r="M1110" i="3"/>
  <c r="I1110" i="3"/>
  <c r="E1110" i="3"/>
  <c r="C1110" i="3"/>
  <c r="Q1109" i="3"/>
  <c r="M1109" i="3"/>
  <c r="I1109" i="3"/>
  <c r="E1109" i="3"/>
  <c r="C1109" i="3"/>
  <c r="Q1108" i="3"/>
  <c r="M1108" i="3"/>
  <c r="I1108" i="3"/>
  <c r="E1108" i="3"/>
  <c r="C1108" i="3"/>
  <c r="Q1107" i="3"/>
  <c r="M1107" i="3"/>
  <c r="I1107" i="3"/>
  <c r="E1107" i="3"/>
  <c r="C1107" i="3"/>
  <c r="Q1106" i="3"/>
  <c r="M1106" i="3"/>
  <c r="I1106" i="3"/>
  <c r="E1106" i="3"/>
  <c r="C1106" i="3"/>
  <c r="Q1105" i="3"/>
  <c r="M1105" i="3"/>
  <c r="I1105" i="3"/>
  <c r="E1105" i="3"/>
  <c r="C1105" i="3"/>
  <c r="Q1104" i="3"/>
  <c r="M1104" i="3"/>
  <c r="I1104" i="3"/>
  <c r="E1104" i="3"/>
  <c r="C1104" i="3"/>
  <c r="Q1103" i="3"/>
  <c r="M1103" i="3"/>
  <c r="I1103" i="3"/>
  <c r="E1103" i="3"/>
  <c r="C1103" i="3"/>
  <c r="Q1102" i="3"/>
  <c r="M1102" i="3"/>
  <c r="I1102" i="3"/>
  <c r="E1102" i="3"/>
  <c r="C1102" i="3"/>
  <c r="Q1101" i="3"/>
  <c r="M1101" i="3"/>
  <c r="I1101" i="3"/>
  <c r="E1101" i="3"/>
  <c r="C1101" i="3"/>
  <c r="Q1100" i="3"/>
  <c r="M1100" i="3"/>
  <c r="I1100" i="3"/>
  <c r="E1100" i="3"/>
  <c r="C1100" i="3"/>
  <c r="Q1099" i="3"/>
  <c r="M1099" i="3"/>
  <c r="I1099" i="3"/>
  <c r="E1099" i="3"/>
  <c r="C1099" i="3"/>
  <c r="Q1098" i="3"/>
  <c r="M1098" i="3"/>
  <c r="I1098" i="3"/>
  <c r="E1098" i="3"/>
  <c r="C1098" i="3"/>
  <c r="Q1097" i="3"/>
  <c r="M1097" i="3"/>
  <c r="I1097" i="3"/>
  <c r="E1097" i="3"/>
  <c r="C1097" i="3"/>
  <c r="Q1096" i="3"/>
  <c r="M1096" i="3"/>
  <c r="I1096" i="3"/>
  <c r="E1096" i="3"/>
  <c r="C1096" i="3"/>
  <c r="Q1095" i="3"/>
  <c r="M1095" i="3"/>
  <c r="I1095" i="3"/>
  <c r="E1095" i="3"/>
  <c r="C1095" i="3"/>
  <c r="Q1094" i="3"/>
  <c r="M1094" i="3"/>
  <c r="I1094" i="3"/>
  <c r="E1094" i="3"/>
  <c r="C1094" i="3"/>
  <c r="Q1093" i="3"/>
  <c r="M1093" i="3"/>
  <c r="I1093" i="3"/>
  <c r="E1093" i="3"/>
  <c r="C1093" i="3"/>
  <c r="Q1092" i="3"/>
  <c r="M1092" i="3"/>
  <c r="I1092" i="3"/>
  <c r="E1092" i="3"/>
  <c r="C1092" i="3"/>
  <c r="Q1091" i="3"/>
  <c r="M1091" i="3"/>
  <c r="I1091" i="3"/>
  <c r="E1091" i="3"/>
  <c r="C1091" i="3"/>
  <c r="Q1090" i="3"/>
  <c r="M1090" i="3"/>
  <c r="I1090" i="3"/>
  <c r="E1090" i="3"/>
  <c r="C1090" i="3"/>
  <c r="Q1089" i="3"/>
  <c r="M1089" i="3"/>
  <c r="I1089" i="3"/>
  <c r="E1089" i="3"/>
  <c r="C1089" i="3"/>
  <c r="Q1088" i="3"/>
  <c r="M1088" i="3"/>
  <c r="I1088" i="3"/>
  <c r="E1088" i="3"/>
  <c r="C1088" i="3"/>
  <c r="Q1087" i="3"/>
  <c r="M1087" i="3"/>
  <c r="I1087" i="3"/>
  <c r="E1087" i="3"/>
  <c r="C1087" i="3"/>
  <c r="Q1086" i="3"/>
  <c r="M1086" i="3"/>
  <c r="I1086" i="3"/>
  <c r="E1086" i="3"/>
  <c r="C1086" i="3"/>
  <c r="Q1085" i="3"/>
  <c r="M1085" i="3"/>
  <c r="I1085" i="3"/>
  <c r="E1085" i="3"/>
  <c r="C1085" i="3"/>
  <c r="Q1084" i="3"/>
  <c r="M1084" i="3"/>
  <c r="I1084" i="3"/>
  <c r="E1084" i="3"/>
  <c r="C1084" i="3"/>
  <c r="Q1083" i="3"/>
  <c r="M1083" i="3"/>
  <c r="I1083" i="3"/>
  <c r="E1083" i="3"/>
  <c r="C1083" i="3"/>
  <c r="Q1082" i="3"/>
  <c r="M1082" i="3"/>
  <c r="I1082" i="3"/>
  <c r="E1082" i="3"/>
  <c r="C1082" i="3"/>
  <c r="Q1081" i="3"/>
  <c r="M1081" i="3"/>
  <c r="I1081" i="3"/>
  <c r="E1081" i="3"/>
  <c r="C1081" i="3"/>
  <c r="Q1080" i="3"/>
  <c r="M1080" i="3"/>
  <c r="I1080" i="3"/>
  <c r="E1080" i="3"/>
  <c r="C1080" i="3"/>
  <c r="Q1079" i="3"/>
  <c r="M1079" i="3"/>
  <c r="I1079" i="3"/>
  <c r="E1079" i="3"/>
  <c r="C1079" i="3"/>
  <c r="Q1078" i="3"/>
  <c r="M1078" i="3"/>
  <c r="I1078" i="3"/>
  <c r="E1078" i="3"/>
  <c r="C1078" i="3"/>
  <c r="Q1077" i="3"/>
  <c r="M1077" i="3"/>
  <c r="I1077" i="3"/>
  <c r="E1077" i="3"/>
  <c r="C1077" i="3"/>
  <c r="Q1076" i="3"/>
  <c r="M1076" i="3"/>
  <c r="I1076" i="3"/>
  <c r="E1076" i="3"/>
  <c r="C1076" i="3"/>
  <c r="Q1075" i="3"/>
  <c r="M1075" i="3"/>
  <c r="I1075" i="3"/>
  <c r="E1075" i="3"/>
  <c r="C1075" i="3"/>
  <c r="Q1074" i="3"/>
  <c r="M1074" i="3"/>
  <c r="I1074" i="3"/>
  <c r="E1074" i="3"/>
  <c r="C1074" i="3"/>
  <c r="Q1073" i="3"/>
  <c r="M1073" i="3"/>
  <c r="I1073" i="3"/>
  <c r="E1073" i="3"/>
  <c r="C1073" i="3"/>
  <c r="Q1072" i="3"/>
  <c r="M1072" i="3"/>
  <c r="I1072" i="3"/>
  <c r="E1072" i="3"/>
  <c r="C1072" i="3"/>
  <c r="Q1071" i="3"/>
  <c r="M1071" i="3"/>
  <c r="I1071" i="3"/>
  <c r="E1071" i="3"/>
  <c r="C1071" i="3"/>
  <c r="Q1070" i="3"/>
  <c r="M1070" i="3"/>
  <c r="I1070" i="3"/>
  <c r="E1070" i="3"/>
  <c r="C1070" i="3"/>
  <c r="Q1069" i="3"/>
  <c r="M1069" i="3"/>
  <c r="I1069" i="3"/>
  <c r="E1069" i="3"/>
  <c r="C1069" i="3"/>
  <c r="Q1068" i="3"/>
  <c r="M1068" i="3"/>
  <c r="I1068" i="3"/>
  <c r="E1068" i="3"/>
  <c r="C1068" i="3"/>
  <c r="Q1067" i="3"/>
  <c r="M1067" i="3"/>
  <c r="I1067" i="3"/>
  <c r="E1067" i="3"/>
  <c r="C1067" i="3"/>
  <c r="Q1066" i="3"/>
  <c r="M1066" i="3"/>
  <c r="I1066" i="3"/>
  <c r="E1066" i="3"/>
  <c r="C1066" i="3"/>
  <c r="Q1065" i="3"/>
  <c r="M1065" i="3"/>
  <c r="I1065" i="3"/>
  <c r="E1065" i="3"/>
  <c r="C1065" i="3"/>
  <c r="Q1064" i="3"/>
  <c r="M1064" i="3"/>
  <c r="I1064" i="3"/>
  <c r="E1064" i="3"/>
  <c r="C1064" i="3"/>
  <c r="Q1063" i="3"/>
  <c r="M1063" i="3"/>
  <c r="I1063" i="3"/>
  <c r="E1063" i="3"/>
  <c r="C1063" i="3"/>
  <c r="Q1062" i="3"/>
  <c r="M1062" i="3"/>
  <c r="I1062" i="3"/>
  <c r="E1062" i="3"/>
  <c r="C1062" i="3"/>
  <c r="Q1061" i="3"/>
  <c r="M1061" i="3"/>
  <c r="I1061" i="3"/>
  <c r="E1061" i="3"/>
  <c r="C1061" i="3"/>
  <c r="Q1060" i="3"/>
  <c r="M1060" i="3"/>
  <c r="I1060" i="3"/>
  <c r="E1060" i="3"/>
  <c r="C1060" i="3"/>
  <c r="Q1059" i="3"/>
  <c r="M1059" i="3"/>
  <c r="I1059" i="3"/>
  <c r="E1059" i="3"/>
  <c r="C1059" i="3"/>
  <c r="Q1058" i="3"/>
  <c r="M1058" i="3"/>
  <c r="I1058" i="3"/>
  <c r="E1058" i="3"/>
  <c r="C1058" i="3"/>
  <c r="Q1057" i="3"/>
  <c r="M1057" i="3"/>
  <c r="I1057" i="3"/>
  <c r="E1057" i="3"/>
  <c r="C1057" i="3"/>
  <c r="Q1056" i="3"/>
  <c r="M1056" i="3"/>
  <c r="I1056" i="3"/>
  <c r="E1056" i="3"/>
  <c r="C1056" i="3"/>
  <c r="Q1055" i="3"/>
  <c r="M1055" i="3"/>
  <c r="I1055" i="3"/>
  <c r="E1055" i="3"/>
  <c r="C1055" i="3"/>
  <c r="Q1054" i="3"/>
  <c r="M1054" i="3"/>
  <c r="I1054" i="3"/>
  <c r="E1054" i="3"/>
  <c r="C1054" i="3"/>
  <c r="Q1053" i="3"/>
  <c r="M1053" i="3"/>
  <c r="I1053" i="3"/>
  <c r="E1053" i="3"/>
  <c r="C1053" i="3"/>
  <c r="Q1052" i="3"/>
  <c r="M1052" i="3"/>
  <c r="I1052" i="3"/>
  <c r="E1052" i="3"/>
  <c r="C1052" i="3"/>
  <c r="Q1051" i="3"/>
  <c r="M1051" i="3"/>
  <c r="I1051" i="3"/>
  <c r="E1051" i="3"/>
  <c r="C1051" i="3"/>
  <c r="Q1050" i="3"/>
  <c r="M1050" i="3"/>
  <c r="I1050" i="3"/>
  <c r="E1050" i="3"/>
  <c r="C1050" i="3"/>
  <c r="Q1049" i="3"/>
  <c r="M1049" i="3"/>
  <c r="I1049" i="3"/>
  <c r="E1049" i="3"/>
  <c r="C1049" i="3"/>
  <c r="Q1048" i="3"/>
  <c r="M1048" i="3"/>
  <c r="I1048" i="3"/>
  <c r="E1048" i="3"/>
  <c r="C1048" i="3"/>
  <c r="Q1047" i="3"/>
  <c r="M1047" i="3"/>
  <c r="I1047" i="3"/>
  <c r="E1047" i="3"/>
  <c r="C1047" i="3"/>
  <c r="Q1046" i="3"/>
  <c r="M1046" i="3"/>
  <c r="I1046" i="3"/>
  <c r="E1046" i="3"/>
  <c r="C1046" i="3"/>
  <c r="Q1045" i="3"/>
  <c r="M1045" i="3"/>
  <c r="I1045" i="3"/>
  <c r="E1045" i="3"/>
  <c r="C1045" i="3"/>
  <c r="Q1044" i="3"/>
  <c r="M1044" i="3"/>
  <c r="I1044" i="3"/>
  <c r="E1044" i="3"/>
  <c r="C1044" i="3"/>
  <c r="Q1043" i="3"/>
  <c r="M1043" i="3"/>
  <c r="I1043" i="3"/>
  <c r="E1043" i="3"/>
  <c r="C1043" i="3"/>
  <c r="Q1042" i="3"/>
  <c r="M1042" i="3"/>
  <c r="I1042" i="3"/>
  <c r="E1042" i="3"/>
  <c r="C1042" i="3"/>
  <c r="Q1041" i="3"/>
  <c r="M1041" i="3"/>
  <c r="I1041" i="3"/>
  <c r="E1041" i="3"/>
  <c r="C1041" i="3"/>
  <c r="Q1040" i="3"/>
  <c r="M1040" i="3"/>
  <c r="I1040" i="3"/>
  <c r="E1040" i="3"/>
  <c r="C1040" i="3"/>
  <c r="Q1039" i="3"/>
  <c r="M1039" i="3"/>
  <c r="I1039" i="3"/>
  <c r="E1039" i="3"/>
  <c r="C1039" i="3"/>
  <c r="Q1038" i="3"/>
  <c r="M1038" i="3"/>
  <c r="I1038" i="3"/>
  <c r="E1038" i="3"/>
  <c r="C1038" i="3"/>
  <c r="Q1037" i="3"/>
  <c r="M1037" i="3"/>
  <c r="I1037" i="3"/>
  <c r="E1037" i="3"/>
  <c r="C1037" i="3"/>
  <c r="Q1036" i="3"/>
  <c r="M1036" i="3"/>
  <c r="I1036" i="3"/>
  <c r="E1036" i="3"/>
  <c r="C1036" i="3"/>
  <c r="Q1035" i="3"/>
  <c r="M1035" i="3"/>
  <c r="I1035" i="3"/>
  <c r="E1035" i="3"/>
  <c r="C1035" i="3"/>
  <c r="Q1034" i="3"/>
  <c r="M1034" i="3"/>
  <c r="I1034" i="3"/>
  <c r="E1034" i="3"/>
  <c r="C1034" i="3"/>
  <c r="Q1033" i="3"/>
  <c r="M1033" i="3"/>
  <c r="I1033" i="3"/>
  <c r="E1033" i="3"/>
  <c r="C1033" i="3"/>
  <c r="Q1032" i="3"/>
  <c r="M1032" i="3"/>
  <c r="I1032" i="3"/>
  <c r="E1032" i="3"/>
  <c r="C1032" i="3"/>
  <c r="Q1031" i="3"/>
  <c r="M1031" i="3"/>
  <c r="I1031" i="3"/>
  <c r="E1031" i="3"/>
  <c r="C1031" i="3"/>
  <c r="Q1030" i="3"/>
  <c r="M1030" i="3"/>
  <c r="I1030" i="3"/>
  <c r="E1030" i="3"/>
  <c r="C1030" i="3"/>
  <c r="Q1029" i="3"/>
  <c r="M1029" i="3"/>
  <c r="I1029" i="3"/>
  <c r="E1029" i="3"/>
  <c r="C1029" i="3"/>
  <c r="Q1028" i="3"/>
  <c r="M1028" i="3"/>
  <c r="I1028" i="3"/>
  <c r="E1028" i="3"/>
  <c r="C1028" i="3"/>
  <c r="Q1027" i="3"/>
  <c r="M1027" i="3"/>
  <c r="I1027" i="3"/>
  <c r="E1027" i="3"/>
  <c r="C1027" i="3"/>
  <c r="Q1026" i="3"/>
  <c r="M1026" i="3"/>
  <c r="I1026" i="3"/>
  <c r="E1026" i="3"/>
  <c r="C1026" i="3"/>
  <c r="Q1025" i="3"/>
  <c r="M1025" i="3"/>
  <c r="I1025" i="3"/>
  <c r="E1025" i="3"/>
  <c r="C1025" i="3"/>
  <c r="Q1024" i="3"/>
  <c r="M1024" i="3"/>
  <c r="I1024" i="3"/>
  <c r="E1024" i="3"/>
  <c r="C1024" i="3"/>
  <c r="Q1023" i="3"/>
  <c r="M1023" i="3"/>
  <c r="I1023" i="3"/>
  <c r="E1023" i="3"/>
  <c r="C1023" i="3"/>
  <c r="Q1022" i="3"/>
  <c r="M1022" i="3"/>
  <c r="I1022" i="3"/>
  <c r="E1022" i="3"/>
  <c r="C1022" i="3"/>
  <c r="Q1021" i="3"/>
  <c r="M1021" i="3"/>
  <c r="I1021" i="3"/>
  <c r="E1021" i="3"/>
  <c r="C1021" i="3"/>
  <c r="Q1020" i="3"/>
  <c r="M1020" i="3"/>
  <c r="I1020" i="3"/>
  <c r="E1020" i="3"/>
  <c r="C1020" i="3"/>
  <c r="Q1019" i="3"/>
  <c r="M1019" i="3"/>
  <c r="I1019" i="3"/>
  <c r="E1019" i="3"/>
  <c r="C1019" i="3"/>
  <c r="Q1018" i="3"/>
  <c r="M1018" i="3"/>
  <c r="I1018" i="3"/>
  <c r="E1018" i="3"/>
  <c r="C1018" i="3"/>
  <c r="Q1017" i="3"/>
  <c r="M1017" i="3"/>
  <c r="I1017" i="3"/>
  <c r="E1017" i="3"/>
  <c r="C1017" i="3"/>
  <c r="Q1016" i="3"/>
  <c r="M1016" i="3"/>
  <c r="I1016" i="3"/>
  <c r="E1016" i="3"/>
  <c r="C1016" i="3"/>
  <c r="Q1015" i="3"/>
  <c r="M1015" i="3"/>
  <c r="I1015" i="3"/>
  <c r="E1015" i="3"/>
  <c r="C1015" i="3"/>
  <c r="Q1014" i="3"/>
  <c r="M1014" i="3"/>
  <c r="I1014" i="3"/>
  <c r="E1014" i="3"/>
  <c r="C1014" i="3"/>
  <c r="Q1013" i="3"/>
  <c r="M1013" i="3"/>
  <c r="I1013" i="3"/>
  <c r="E1013" i="3"/>
  <c r="C1013" i="3"/>
  <c r="Q1012" i="3"/>
  <c r="M1012" i="3"/>
  <c r="I1012" i="3"/>
  <c r="E1012" i="3"/>
  <c r="C1012" i="3"/>
  <c r="Q1011" i="3"/>
  <c r="M1011" i="3"/>
  <c r="I1011" i="3"/>
  <c r="E1011" i="3"/>
  <c r="C1011" i="3"/>
  <c r="Q1010" i="3"/>
  <c r="M1010" i="3"/>
  <c r="I1010" i="3"/>
  <c r="E1010" i="3"/>
  <c r="C1010" i="3"/>
  <c r="Q1009" i="3"/>
  <c r="M1009" i="3"/>
  <c r="I1009" i="3"/>
  <c r="E1009" i="3"/>
  <c r="C1009" i="3"/>
  <c r="Q1008" i="3"/>
  <c r="M1008" i="3"/>
  <c r="I1008" i="3"/>
  <c r="E1008" i="3"/>
  <c r="C1008" i="3"/>
  <c r="Q1007" i="3"/>
  <c r="M1007" i="3"/>
  <c r="I1007" i="3"/>
  <c r="E1007" i="3"/>
  <c r="C1007" i="3"/>
  <c r="Q1006" i="3"/>
  <c r="M1006" i="3"/>
  <c r="I1006" i="3"/>
  <c r="E1006" i="3"/>
  <c r="C1006" i="3"/>
  <c r="Q1005" i="3"/>
  <c r="M1005" i="3"/>
  <c r="I1005" i="3"/>
  <c r="E1005" i="3"/>
  <c r="C1005" i="3"/>
  <c r="Q1004" i="3"/>
  <c r="M1004" i="3"/>
  <c r="I1004" i="3"/>
  <c r="E1004" i="3"/>
  <c r="C1004" i="3"/>
  <c r="Q1003" i="3"/>
  <c r="M1003" i="3"/>
  <c r="I1003" i="3"/>
  <c r="E1003" i="3"/>
  <c r="C1003" i="3"/>
  <c r="Q1002" i="3"/>
  <c r="M1002" i="3"/>
  <c r="I1002" i="3"/>
  <c r="E1002" i="3"/>
  <c r="C1002" i="3"/>
  <c r="Q1001" i="3"/>
  <c r="M1001" i="3"/>
  <c r="I1001" i="3"/>
  <c r="E1001" i="3"/>
  <c r="C1001" i="3"/>
  <c r="Q1000" i="3"/>
  <c r="M1000" i="3"/>
  <c r="I1000" i="3"/>
  <c r="E1000" i="3"/>
  <c r="C1000" i="3"/>
  <c r="Q999" i="3"/>
  <c r="M999" i="3"/>
  <c r="I999" i="3"/>
  <c r="E999" i="3"/>
  <c r="C999" i="3"/>
  <c r="Q998" i="3"/>
  <c r="M998" i="3"/>
  <c r="I998" i="3"/>
  <c r="E998" i="3"/>
  <c r="C998" i="3"/>
  <c r="Q997" i="3"/>
  <c r="M997" i="3"/>
  <c r="I997" i="3"/>
  <c r="E997" i="3"/>
  <c r="C997" i="3"/>
  <c r="Q996" i="3"/>
  <c r="M996" i="3"/>
  <c r="I996" i="3"/>
  <c r="E996" i="3"/>
  <c r="C996" i="3"/>
  <c r="Q995" i="3"/>
  <c r="M995" i="3"/>
  <c r="I995" i="3"/>
  <c r="E995" i="3"/>
  <c r="C995" i="3"/>
  <c r="Q994" i="3"/>
  <c r="M994" i="3"/>
  <c r="I994" i="3"/>
  <c r="E994" i="3"/>
  <c r="C994" i="3"/>
  <c r="Q993" i="3"/>
  <c r="M993" i="3"/>
  <c r="I993" i="3"/>
  <c r="E993" i="3"/>
  <c r="C993" i="3"/>
  <c r="Q992" i="3"/>
  <c r="M992" i="3"/>
  <c r="I992" i="3"/>
  <c r="E992" i="3"/>
  <c r="C992" i="3"/>
  <c r="Q991" i="3"/>
  <c r="M991" i="3"/>
  <c r="I991" i="3"/>
  <c r="E991" i="3"/>
  <c r="C991" i="3"/>
  <c r="Q990" i="3"/>
  <c r="M990" i="3"/>
  <c r="I990" i="3"/>
  <c r="E990" i="3"/>
  <c r="C990" i="3"/>
  <c r="Q989" i="3"/>
  <c r="M989" i="3"/>
  <c r="I989" i="3"/>
  <c r="E989" i="3"/>
  <c r="C989" i="3"/>
  <c r="Q988" i="3"/>
  <c r="M988" i="3"/>
  <c r="I988" i="3"/>
  <c r="E988" i="3"/>
  <c r="C988" i="3"/>
  <c r="Q987" i="3"/>
  <c r="M987" i="3"/>
  <c r="I987" i="3"/>
  <c r="E987" i="3"/>
  <c r="C987" i="3"/>
  <c r="Q986" i="3"/>
  <c r="M986" i="3"/>
  <c r="I986" i="3"/>
  <c r="E986" i="3"/>
  <c r="C986" i="3"/>
  <c r="Q985" i="3"/>
  <c r="M985" i="3"/>
  <c r="I985" i="3"/>
  <c r="E985" i="3"/>
  <c r="C985" i="3"/>
  <c r="Q984" i="3"/>
  <c r="M984" i="3"/>
  <c r="I984" i="3"/>
  <c r="E984" i="3"/>
  <c r="C984" i="3"/>
  <c r="Q983" i="3"/>
  <c r="M983" i="3"/>
  <c r="I983" i="3"/>
  <c r="E983" i="3"/>
  <c r="C983" i="3"/>
  <c r="Q982" i="3"/>
  <c r="M982" i="3"/>
  <c r="I982" i="3"/>
  <c r="E982" i="3"/>
  <c r="C982" i="3"/>
  <c r="Q981" i="3"/>
  <c r="M981" i="3"/>
  <c r="I981" i="3"/>
  <c r="E981" i="3"/>
  <c r="C981" i="3"/>
  <c r="Q980" i="3"/>
  <c r="M980" i="3"/>
  <c r="I980" i="3"/>
  <c r="E980" i="3"/>
  <c r="C980" i="3"/>
  <c r="Q979" i="3"/>
  <c r="M979" i="3"/>
  <c r="I979" i="3"/>
  <c r="E979" i="3"/>
  <c r="C979" i="3"/>
  <c r="Q978" i="3"/>
  <c r="M978" i="3"/>
  <c r="I978" i="3"/>
  <c r="E978" i="3"/>
  <c r="C978" i="3"/>
  <c r="Q977" i="3"/>
  <c r="M977" i="3"/>
  <c r="I977" i="3"/>
  <c r="E977" i="3"/>
  <c r="C977" i="3"/>
  <c r="Q976" i="3"/>
  <c r="M976" i="3"/>
  <c r="I976" i="3"/>
  <c r="E976" i="3"/>
  <c r="C976" i="3"/>
  <c r="Q975" i="3"/>
  <c r="M975" i="3"/>
  <c r="I975" i="3"/>
  <c r="E975" i="3"/>
  <c r="C975" i="3"/>
  <c r="Q974" i="3"/>
  <c r="M974" i="3"/>
  <c r="I974" i="3"/>
  <c r="E974" i="3"/>
  <c r="C974" i="3"/>
  <c r="Q973" i="3"/>
  <c r="M973" i="3"/>
  <c r="I973" i="3"/>
  <c r="E973" i="3"/>
  <c r="C973" i="3"/>
  <c r="Q972" i="3"/>
  <c r="M972" i="3"/>
  <c r="I972" i="3"/>
  <c r="E972" i="3"/>
  <c r="C972" i="3"/>
  <c r="Q971" i="3"/>
  <c r="M971" i="3"/>
  <c r="I971" i="3"/>
  <c r="E971" i="3"/>
  <c r="C971" i="3"/>
  <c r="Q970" i="3"/>
  <c r="M970" i="3"/>
  <c r="I970" i="3"/>
  <c r="E970" i="3"/>
  <c r="C970" i="3"/>
  <c r="Q969" i="3"/>
  <c r="M969" i="3"/>
  <c r="I969" i="3"/>
  <c r="E969" i="3"/>
  <c r="C969" i="3"/>
  <c r="Q968" i="3"/>
  <c r="M968" i="3"/>
  <c r="I968" i="3"/>
  <c r="E968" i="3"/>
  <c r="C968" i="3"/>
  <c r="Q967" i="3"/>
  <c r="M967" i="3"/>
  <c r="I967" i="3"/>
  <c r="E967" i="3"/>
  <c r="C967" i="3"/>
  <c r="Q966" i="3"/>
  <c r="M966" i="3"/>
  <c r="I966" i="3"/>
  <c r="E966" i="3"/>
  <c r="C966" i="3"/>
  <c r="Q965" i="3"/>
  <c r="M965" i="3"/>
  <c r="I965" i="3"/>
  <c r="E965" i="3"/>
  <c r="C965" i="3"/>
  <c r="Q964" i="3"/>
  <c r="M964" i="3"/>
  <c r="I964" i="3"/>
  <c r="E964" i="3"/>
  <c r="C964" i="3"/>
  <c r="Q963" i="3"/>
  <c r="M963" i="3"/>
  <c r="I963" i="3"/>
  <c r="E963" i="3"/>
  <c r="C963" i="3"/>
  <c r="Q962" i="3"/>
  <c r="M962" i="3"/>
  <c r="I962" i="3"/>
  <c r="E962" i="3"/>
  <c r="C962" i="3"/>
  <c r="Q961" i="3"/>
  <c r="M961" i="3"/>
  <c r="I961" i="3"/>
  <c r="E961" i="3"/>
  <c r="C961" i="3"/>
  <c r="Q960" i="3"/>
  <c r="M960" i="3"/>
  <c r="I960" i="3"/>
  <c r="E960" i="3"/>
  <c r="C960" i="3"/>
  <c r="Q959" i="3"/>
  <c r="M959" i="3"/>
  <c r="I959" i="3"/>
  <c r="E959" i="3"/>
  <c r="C959" i="3"/>
  <c r="Q958" i="3"/>
  <c r="M958" i="3"/>
  <c r="I958" i="3"/>
  <c r="E958" i="3"/>
  <c r="C958" i="3"/>
  <c r="Q957" i="3"/>
  <c r="M957" i="3"/>
  <c r="I957" i="3"/>
  <c r="E957" i="3"/>
  <c r="C957" i="3"/>
  <c r="Q956" i="3"/>
  <c r="M956" i="3"/>
  <c r="I956" i="3"/>
  <c r="E956" i="3"/>
  <c r="C956" i="3"/>
  <c r="Q955" i="3"/>
  <c r="M955" i="3"/>
  <c r="I955" i="3"/>
  <c r="E955" i="3"/>
  <c r="C955" i="3"/>
  <c r="Q954" i="3"/>
  <c r="M954" i="3"/>
  <c r="I954" i="3"/>
  <c r="E954" i="3"/>
  <c r="C954" i="3"/>
  <c r="Q953" i="3"/>
  <c r="M953" i="3"/>
  <c r="I953" i="3"/>
  <c r="E953" i="3"/>
  <c r="C953" i="3"/>
  <c r="Q952" i="3"/>
  <c r="M952" i="3"/>
  <c r="I952" i="3"/>
  <c r="E952" i="3"/>
  <c r="C952" i="3"/>
  <c r="Q951" i="3"/>
  <c r="M951" i="3"/>
  <c r="I951" i="3"/>
  <c r="E951" i="3"/>
  <c r="C951" i="3"/>
  <c r="Q950" i="3"/>
  <c r="M950" i="3"/>
  <c r="I950" i="3"/>
  <c r="E950" i="3"/>
  <c r="C950" i="3"/>
  <c r="Q949" i="3"/>
  <c r="M949" i="3"/>
  <c r="I949" i="3"/>
  <c r="E949" i="3"/>
  <c r="C949" i="3"/>
  <c r="Q948" i="3"/>
  <c r="M948" i="3"/>
  <c r="I948" i="3"/>
  <c r="E948" i="3"/>
  <c r="C948" i="3"/>
  <c r="Q947" i="3"/>
  <c r="M947" i="3"/>
  <c r="I947" i="3"/>
  <c r="E947" i="3"/>
  <c r="C947" i="3"/>
  <c r="Q946" i="3"/>
  <c r="M946" i="3"/>
  <c r="I946" i="3"/>
  <c r="E946" i="3"/>
  <c r="C946" i="3"/>
  <c r="Q945" i="3"/>
  <c r="M945" i="3"/>
  <c r="I945" i="3"/>
  <c r="E945" i="3"/>
  <c r="C945" i="3"/>
  <c r="Q944" i="3"/>
  <c r="M944" i="3"/>
  <c r="I944" i="3"/>
  <c r="E944" i="3"/>
  <c r="C944" i="3"/>
  <c r="Q943" i="3"/>
  <c r="M943" i="3"/>
  <c r="I943" i="3"/>
  <c r="E943" i="3"/>
  <c r="C943" i="3"/>
  <c r="Q942" i="3"/>
  <c r="M942" i="3"/>
  <c r="I942" i="3"/>
  <c r="E942" i="3"/>
  <c r="C942" i="3"/>
  <c r="Q941" i="3"/>
  <c r="M941" i="3"/>
  <c r="I941" i="3"/>
  <c r="E941" i="3"/>
  <c r="C941" i="3"/>
  <c r="Q940" i="3"/>
  <c r="M940" i="3"/>
  <c r="I940" i="3"/>
  <c r="E940" i="3"/>
  <c r="C940" i="3"/>
  <c r="Q939" i="3"/>
  <c r="M939" i="3"/>
  <c r="I939" i="3"/>
  <c r="E939" i="3"/>
  <c r="C939" i="3"/>
  <c r="Q938" i="3"/>
  <c r="M938" i="3"/>
  <c r="I938" i="3"/>
  <c r="E938" i="3"/>
  <c r="C938" i="3"/>
  <c r="Q937" i="3"/>
  <c r="M937" i="3"/>
  <c r="I937" i="3"/>
  <c r="E937" i="3"/>
  <c r="C937" i="3"/>
  <c r="Q936" i="3"/>
  <c r="M936" i="3"/>
  <c r="I936" i="3"/>
  <c r="E936" i="3"/>
  <c r="C936" i="3"/>
  <c r="Q935" i="3"/>
  <c r="M935" i="3"/>
  <c r="I935" i="3"/>
  <c r="E935" i="3"/>
  <c r="C935" i="3"/>
  <c r="Q934" i="3"/>
  <c r="M934" i="3"/>
  <c r="I934" i="3"/>
  <c r="E934" i="3"/>
  <c r="C934" i="3"/>
  <c r="Q933" i="3"/>
  <c r="M933" i="3"/>
  <c r="I933" i="3"/>
  <c r="E933" i="3"/>
  <c r="C933" i="3"/>
  <c r="Q932" i="3"/>
  <c r="M932" i="3"/>
  <c r="I932" i="3"/>
  <c r="E932" i="3"/>
  <c r="C932" i="3"/>
  <c r="Q931" i="3"/>
  <c r="M931" i="3"/>
  <c r="I931" i="3"/>
  <c r="E931" i="3"/>
  <c r="C931" i="3"/>
  <c r="Q930" i="3"/>
  <c r="M930" i="3"/>
  <c r="I930" i="3"/>
  <c r="E930" i="3"/>
  <c r="C930" i="3"/>
  <c r="Q929" i="3"/>
  <c r="M929" i="3"/>
  <c r="I929" i="3"/>
  <c r="E929" i="3"/>
  <c r="C929" i="3"/>
  <c r="Q928" i="3"/>
  <c r="M928" i="3"/>
  <c r="I928" i="3"/>
  <c r="E928" i="3"/>
  <c r="C928" i="3"/>
  <c r="Q927" i="3"/>
  <c r="M927" i="3"/>
  <c r="I927" i="3"/>
  <c r="E927" i="3"/>
  <c r="C927" i="3"/>
  <c r="Q926" i="3"/>
  <c r="M926" i="3"/>
  <c r="I926" i="3"/>
  <c r="E926" i="3"/>
  <c r="C926" i="3"/>
  <c r="Q925" i="3"/>
  <c r="M925" i="3"/>
  <c r="I925" i="3"/>
  <c r="E925" i="3"/>
  <c r="C925" i="3"/>
  <c r="Q924" i="3"/>
  <c r="M924" i="3"/>
  <c r="I924" i="3"/>
  <c r="E924" i="3"/>
  <c r="C924" i="3"/>
  <c r="Q923" i="3"/>
  <c r="M923" i="3"/>
  <c r="I923" i="3"/>
  <c r="E923" i="3"/>
  <c r="C923" i="3"/>
  <c r="Q922" i="3"/>
  <c r="M922" i="3"/>
  <c r="I922" i="3"/>
  <c r="E922" i="3"/>
  <c r="C922" i="3"/>
  <c r="Q921" i="3"/>
  <c r="M921" i="3"/>
  <c r="I921" i="3"/>
  <c r="E921" i="3"/>
  <c r="C921" i="3"/>
  <c r="Q920" i="3"/>
  <c r="M920" i="3"/>
  <c r="I920" i="3"/>
  <c r="E920" i="3"/>
  <c r="C920" i="3"/>
  <c r="Q919" i="3"/>
  <c r="M919" i="3"/>
  <c r="I919" i="3"/>
  <c r="E919" i="3"/>
  <c r="C919" i="3"/>
  <c r="Q918" i="3"/>
  <c r="M918" i="3"/>
  <c r="I918" i="3"/>
  <c r="E918" i="3"/>
  <c r="C918" i="3"/>
  <c r="Q917" i="3"/>
  <c r="M917" i="3"/>
  <c r="I917" i="3"/>
  <c r="E917" i="3"/>
  <c r="C917" i="3"/>
  <c r="Q916" i="3"/>
  <c r="M916" i="3"/>
  <c r="I916" i="3"/>
  <c r="E916" i="3"/>
  <c r="C916" i="3"/>
  <c r="Q915" i="3"/>
  <c r="M915" i="3"/>
  <c r="I915" i="3"/>
  <c r="E915" i="3"/>
  <c r="C915" i="3"/>
  <c r="Q914" i="3"/>
  <c r="M914" i="3"/>
  <c r="I914" i="3"/>
  <c r="E914" i="3"/>
  <c r="C914" i="3"/>
  <c r="Q913" i="3"/>
  <c r="M913" i="3"/>
  <c r="I913" i="3"/>
  <c r="E913" i="3"/>
  <c r="C913" i="3"/>
  <c r="Q912" i="3"/>
  <c r="M912" i="3"/>
  <c r="I912" i="3"/>
  <c r="E912" i="3"/>
  <c r="C912" i="3"/>
  <c r="Q911" i="3"/>
  <c r="M911" i="3"/>
  <c r="I911" i="3"/>
  <c r="E911" i="3"/>
  <c r="C911" i="3"/>
  <c r="Q910" i="3"/>
  <c r="M910" i="3"/>
  <c r="I910" i="3"/>
  <c r="E910" i="3"/>
  <c r="C910" i="3"/>
  <c r="Q909" i="3"/>
  <c r="M909" i="3"/>
  <c r="I909" i="3"/>
  <c r="E909" i="3"/>
  <c r="C909" i="3"/>
  <c r="Q908" i="3"/>
  <c r="M908" i="3"/>
  <c r="I908" i="3"/>
  <c r="E908" i="3"/>
  <c r="C908" i="3"/>
  <c r="Q907" i="3"/>
  <c r="M907" i="3"/>
  <c r="I907" i="3"/>
  <c r="E907" i="3"/>
  <c r="C907" i="3"/>
  <c r="Q906" i="3"/>
  <c r="M906" i="3"/>
  <c r="I906" i="3"/>
  <c r="E906" i="3"/>
  <c r="C906" i="3"/>
  <c r="Q905" i="3"/>
  <c r="M905" i="3"/>
  <c r="I905" i="3"/>
  <c r="E905" i="3"/>
  <c r="C905" i="3"/>
  <c r="Q904" i="3"/>
  <c r="M904" i="3"/>
  <c r="I904" i="3"/>
  <c r="E904" i="3"/>
  <c r="C904" i="3"/>
  <c r="Q903" i="3"/>
  <c r="M903" i="3"/>
  <c r="I903" i="3"/>
  <c r="E903" i="3"/>
  <c r="C903" i="3"/>
  <c r="Q902" i="3"/>
  <c r="M902" i="3"/>
  <c r="I902" i="3"/>
  <c r="E902" i="3"/>
  <c r="C902" i="3"/>
  <c r="Q901" i="3"/>
  <c r="M901" i="3"/>
  <c r="I901" i="3"/>
  <c r="E901" i="3"/>
  <c r="C901" i="3"/>
  <c r="Q900" i="3"/>
  <c r="M900" i="3"/>
  <c r="I900" i="3"/>
  <c r="E900" i="3"/>
  <c r="C900" i="3"/>
  <c r="Q899" i="3"/>
  <c r="M899" i="3"/>
  <c r="I899" i="3"/>
  <c r="E899" i="3"/>
  <c r="C899" i="3"/>
  <c r="Q898" i="3"/>
  <c r="M898" i="3"/>
  <c r="I898" i="3"/>
  <c r="E898" i="3"/>
  <c r="C898" i="3"/>
  <c r="Q897" i="3"/>
  <c r="M897" i="3"/>
  <c r="I897" i="3"/>
  <c r="E897" i="3"/>
  <c r="C897" i="3"/>
  <c r="Q896" i="3"/>
  <c r="M896" i="3"/>
  <c r="I896" i="3"/>
  <c r="E896" i="3"/>
  <c r="C896" i="3"/>
  <c r="Q895" i="3"/>
  <c r="M895" i="3"/>
  <c r="I895" i="3"/>
  <c r="E895" i="3"/>
  <c r="C895" i="3"/>
  <c r="Q894" i="3"/>
  <c r="M894" i="3"/>
  <c r="I894" i="3"/>
  <c r="E894" i="3"/>
  <c r="C894" i="3"/>
  <c r="Q893" i="3"/>
  <c r="M893" i="3"/>
  <c r="I893" i="3"/>
  <c r="E893" i="3"/>
  <c r="C893" i="3"/>
  <c r="Q892" i="3"/>
  <c r="M892" i="3"/>
  <c r="I892" i="3"/>
  <c r="E892" i="3"/>
  <c r="C892" i="3"/>
  <c r="Q891" i="3"/>
  <c r="M891" i="3"/>
  <c r="I891" i="3"/>
  <c r="E891" i="3"/>
  <c r="C891" i="3"/>
  <c r="Q890" i="3"/>
  <c r="M890" i="3"/>
  <c r="I890" i="3"/>
  <c r="E890" i="3"/>
  <c r="C890" i="3"/>
  <c r="Q889" i="3"/>
  <c r="M889" i="3"/>
  <c r="I889" i="3"/>
  <c r="E889" i="3"/>
  <c r="C889" i="3"/>
  <c r="Q888" i="3"/>
  <c r="M888" i="3"/>
  <c r="I888" i="3"/>
  <c r="E888" i="3"/>
  <c r="C888" i="3"/>
  <c r="Q887" i="3"/>
  <c r="M887" i="3"/>
  <c r="I887" i="3"/>
  <c r="E887" i="3"/>
  <c r="C887" i="3"/>
  <c r="Q886" i="3"/>
  <c r="M886" i="3"/>
  <c r="I886" i="3"/>
  <c r="E886" i="3"/>
  <c r="C886" i="3"/>
  <c r="Q885" i="3"/>
  <c r="M885" i="3"/>
  <c r="I885" i="3"/>
  <c r="E885" i="3"/>
  <c r="C885" i="3"/>
  <c r="Q884" i="3"/>
  <c r="M884" i="3"/>
  <c r="I884" i="3"/>
  <c r="E884" i="3"/>
  <c r="C884" i="3"/>
  <c r="Q883" i="3"/>
  <c r="M883" i="3"/>
  <c r="I883" i="3"/>
  <c r="E883" i="3"/>
  <c r="C883" i="3"/>
  <c r="Q882" i="3"/>
  <c r="M882" i="3"/>
  <c r="I882" i="3"/>
  <c r="E882" i="3"/>
  <c r="C882" i="3"/>
  <c r="Q881" i="3"/>
  <c r="M881" i="3"/>
  <c r="I881" i="3"/>
  <c r="E881" i="3"/>
  <c r="C881" i="3"/>
  <c r="Q880" i="3"/>
  <c r="M880" i="3"/>
  <c r="I880" i="3"/>
  <c r="E880" i="3"/>
  <c r="C880" i="3"/>
  <c r="Q879" i="3"/>
  <c r="M879" i="3"/>
  <c r="I879" i="3"/>
  <c r="E879" i="3"/>
  <c r="C879" i="3"/>
  <c r="Q878" i="3"/>
  <c r="M878" i="3"/>
  <c r="I878" i="3"/>
  <c r="E878" i="3"/>
  <c r="C878" i="3"/>
  <c r="Q877" i="3"/>
  <c r="M877" i="3"/>
  <c r="I877" i="3"/>
  <c r="E877" i="3"/>
  <c r="C877" i="3"/>
  <c r="Q876" i="3"/>
  <c r="M876" i="3"/>
  <c r="I876" i="3"/>
  <c r="E876" i="3"/>
  <c r="C876" i="3"/>
  <c r="Q875" i="3"/>
  <c r="M875" i="3"/>
  <c r="I875" i="3"/>
  <c r="E875" i="3"/>
  <c r="C875" i="3"/>
  <c r="Q874" i="3"/>
  <c r="M874" i="3"/>
  <c r="I874" i="3"/>
  <c r="E874" i="3"/>
  <c r="C874" i="3"/>
  <c r="Q873" i="3"/>
  <c r="M873" i="3"/>
  <c r="I873" i="3"/>
  <c r="E873" i="3"/>
  <c r="C873" i="3"/>
  <c r="Q872" i="3"/>
  <c r="M872" i="3"/>
  <c r="I872" i="3"/>
  <c r="E872" i="3"/>
  <c r="C872" i="3"/>
  <c r="Q871" i="3"/>
  <c r="M871" i="3"/>
  <c r="I871" i="3"/>
  <c r="E871" i="3"/>
  <c r="C871" i="3"/>
  <c r="Q870" i="3"/>
  <c r="M870" i="3"/>
  <c r="I870" i="3"/>
  <c r="E870" i="3"/>
  <c r="C870" i="3"/>
  <c r="Q869" i="3"/>
  <c r="M869" i="3"/>
  <c r="I869" i="3"/>
  <c r="E869" i="3"/>
  <c r="C869" i="3"/>
  <c r="Q868" i="3"/>
  <c r="M868" i="3"/>
  <c r="I868" i="3"/>
  <c r="E868" i="3"/>
  <c r="C868" i="3"/>
  <c r="Q867" i="3"/>
  <c r="M867" i="3"/>
  <c r="I867" i="3"/>
  <c r="E867" i="3"/>
  <c r="C867" i="3"/>
  <c r="Q866" i="3"/>
  <c r="M866" i="3"/>
  <c r="I866" i="3"/>
  <c r="E866" i="3"/>
  <c r="C866" i="3"/>
  <c r="Q865" i="3"/>
  <c r="M865" i="3"/>
  <c r="I865" i="3"/>
  <c r="E865" i="3"/>
  <c r="C865" i="3"/>
  <c r="Q864" i="3"/>
  <c r="M864" i="3"/>
  <c r="I864" i="3"/>
  <c r="E864" i="3"/>
  <c r="C864" i="3"/>
  <c r="Q863" i="3"/>
  <c r="M863" i="3"/>
  <c r="I863" i="3"/>
  <c r="E863" i="3"/>
  <c r="C863" i="3"/>
  <c r="Q862" i="3"/>
  <c r="M862" i="3"/>
  <c r="I862" i="3"/>
  <c r="E862" i="3"/>
  <c r="C862" i="3"/>
  <c r="Q861" i="3"/>
  <c r="M861" i="3"/>
  <c r="I861" i="3"/>
  <c r="E861" i="3"/>
  <c r="C861" i="3"/>
  <c r="Q860" i="3"/>
  <c r="M860" i="3"/>
  <c r="I860" i="3"/>
  <c r="E860" i="3"/>
  <c r="C860" i="3"/>
  <c r="Q859" i="3"/>
  <c r="M859" i="3"/>
  <c r="I859" i="3"/>
  <c r="E859" i="3"/>
  <c r="C859" i="3"/>
  <c r="Q858" i="3"/>
  <c r="M858" i="3"/>
  <c r="I858" i="3"/>
  <c r="E858" i="3"/>
  <c r="C858" i="3"/>
  <c r="Q857" i="3"/>
  <c r="M857" i="3"/>
  <c r="I857" i="3"/>
  <c r="E857" i="3"/>
  <c r="C857" i="3"/>
  <c r="Q856" i="3"/>
  <c r="M856" i="3"/>
  <c r="I856" i="3"/>
  <c r="E856" i="3"/>
  <c r="C856" i="3"/>
  <c r="Q855" i="3"/>
  <c r="M855" i="3"/>
  <c r="I855" i="3"/>
  <c r="E855" i="3"/>
  <c r="C855" i="3"/>
  <c r="Q854" i="3"/>
  <c r="M854" i="3"/>
  <c r="I854" i="3"/>
  <c r="E854" i="3"/>
  <c r="C854" i="3"/>
  <c r="Q853" i="3"/>
  <c r="M853" i="3"/>
  <c r="I853" i="3"/>
  <c r="E853" i="3"/>
  <c r="C853" i="3"/>
  <c r="Q852" i="3"/>
  <c r="M852" i="3"/>
  <c r="I852" i="3"/>
  <c r="E852" i="3"/>
  <c r="C852" i="3"/>
  <c r="Q851" i="3"/>
  <c r="M851" i="3"/>
  <c r="I851" i="3"/>
  <c r="E851" i="3"/>
  <c r="C851" i="3"/>
  <c r="Q850" i="3"/>
  <c r="M850" i="3"/>
  <c r="I850" i="3"/>
  <c r="E850" i="3"/>
  <c r="C850" i="3"/>
  <c r="Q849" i="3"/>
  <c r="M849" i="3"/>
  <c r="I849" i="3"/>
  <c r="E849" i="3"/>
  <c r="C849" i="3"/>
  <c r="Q848" i="3"/>
  <c r="M848" i="3"/>
  <c r="I848" i="3"/>
  <c r="E848" i="3"/>
  <c r="C848" i="3"/>
  <c r="Q847" i="3"/>
  <c r="M847" i="3"/>
  <c r="I847" i="3"/>
  <c r="E847" i="3"/>
  <c r="C847" i="3"/>
  <c r="Q846" i="3"/>
  <c r="M846" i="3"/>
  <c r="I846" i="3"/>
  <c r="E846" i="3"/>
  <c r="C846" i="3"/>
  <c r="Q845" i="3"/>
  <c r="M845" i="3"/>
  <c r="I845" i="3"/>
  <c r="E845" i="3"/>
  <c r="C845" i="3"/>
  <c r="Q844" i="3"/>
  <c r="M844" i="3"/>
  <c r="I844" i="3"/>
  <c r="E844" i="3"/>
  <c r="C844" i="3"/>
  <c r="Q843" i="3"/>
  <c r="M843" i="3"/>
  <c r="I843" i="3"/>
  <c r="E843" i="3"/>
  <c r="C843" i="3"/>
  <c r="Q842" i="3"/>
  <c r="M842" i="3"/>
  <c r="I842" i="3"/>
  <c r="E842" i="3"/>
  <c r="C842" i="3"/>
  <c r="Q841" i="3"/>
  <c r="M841" i="3"/>
  <c r="I841" i="3"/>
  <c r="E841" i="3"/>
  <c r="C841" i="3"/>
  <c r="Q840" i="3"/>
  <c r="M840" i="3"/>
  <c r="I840" i="3"/>
  <c r="E840" i="3"/>
  <c r="C840" i="3"/>
  <c r="Q839" i="3"/>
  <c r="M839" i="3"/>
  <c r="I839" i="3"/>
  <c r="E839" i="3"/>
  <c r="C839" i="3"/>
  <c r="Q838" i="3"/>
  <c r="M838" i="3"/>
  <c r="I838" i="3"/>
  <c r="E838" i="3"/>
  <c r="C838" i="3"/>
  <c r="Q837" i="3"/>
  <c r="M837" i="3"/>
  <c r="I837" i="3"/>
  <c r="E837" i="3"/>
  <c r="C837" i="3"/>
  <c r="Q836" i="3"/>
  <c r="M836" i="3"/>
  <c r="I836" i="3"/>
  <c r="E836" i="3"/>
  <c r="C836" i="3"/>
  <c r="Q835" i="3"/>
  <c r="M835" i="3"/>
  <c r="I835" i="3"/>
  <c r="E835" i="3"/>
  <c r="C835" i="3"/>
  <c r="Q834" i="3"/>
  <c r="M834" i="3"/>
  <c r="I834" i="3"/>
  <c r="E834" i="3"/>
  <c r="C834" i="3"/>
  <c r="Q833" i="3"/>
  <c r="M833" i="3"/>
  <c r="I833" i="3"/>
  <c r="E833" i="3"/>
  <c r="C833" i="3"/>
  <c r="Q832" i="3"/>
  <c r="M832" i="3"/>
  <c r="I832" i="3"/>
  <c r="E832" i="3"/>
  <c r="C832" i="3"/>
  <c r="Q831" i="3"/>
  <c r="M831" i="3"/>
  <c r="I831" i="3"/>
  <c r="E831" i="3"/>
  <c r="C831" i="3"/>
  <c r="Q830" i="3"/>
  <c r="M830" i="3"/>
  <c r="I830" i="3"/>
  <c r="E830" i="3"/>
  <c r="C830" i="3"/>
  <c r="Q829" i="3"/>
  <c r="M829" i="3"/>
  <c r="I829" i="3"/>
  <c r="E829" i="3"/>
  <c r="C829" i="3"/>
  <c r="Q828" i="3"/>
  <c r="M828" i="3"/>
  <c r="I828" i="3"/>
  <c r="E828" i="3"/>
  <c r="C828" i="3"/>
  <c r="Q827" i="3"/>
  <c r="M827" i="3"/>
  <c r="I827" i="3"/>
  <c r="E827" i="3"/>
  <c r="C827" i="3"/>
  <c r="Q826" i="3"/>
  <c r="M826" i="3"/>
  <c r="I826" i="3"/>
  <c r="E826" i="3"/>
  <c r="C826" i="3"/>
  <c r="Q825" i="3"/>
  <c r="M825" i="3"/>
  <c r="I825" i="3"/>
  <c r="E825" i="3"/>
  <c r="C825" i="3"/>
  <c r="Q824" i="3"/>
  <c r="M824" i="3"/>
  <c r="I824" i="3"/>
  <c r="E824" i="3"/>
  <c r="C824" i="3"/>
  <c r="Q823" i="3"/>
  <c r="M823" i="3"/>
  <c r="I823" i="3"/>
  <c r="E823" i="3"/>
  <c r="C823" i="3"/>
  <c r="Q822" i="3"/>
  <c r="M822" i="3"/>
  <c r="I822" i="3"/>
  <c r="E822" i="3"/>
  <c r="C822" i="3"/>
  <c r="Q821" i="3"/>
  <c r="M821" i="3"/>
  <c r="I821" i="3"/>
  <c r="E821" i="3"/>
  <c r="C821" i="3"/>
  <c r="Q820" i="3"/>
  <c r="M820" i="3"/>
  <c r="I820" i="3"/>
  <c r="E820" i="3"/>
  <c r="C820" i="3"/>
  <c r="Q819" i="3"/>
  <c r="M819" i="3"/>
  <c r="I819" i="3"/>
  <c r="E819" i="3"/>
  <c r="C819" i="3"/>
  <c r="Q818" i="3"/>
  <c r="M818" i="3"/>
  <c r="I818" i="3"/>
  <c r="E818" i="3"/>
  <c r="C818" i="3"/>
  <c r="Q817" i="3"/>
  <c r="M817" i="3"/>
  <c r="I817" i="3"/>
  <c r="E817" i="3"/>
  <c r="C817" i="3"/>
  <c r="Q816" i="3"/>
  <c r="M816" i="3"/>
  <c r="I816" i="3"/>
  <c r="E816" i="3"/>
  <c r="C816" i="3"/>
  <c r="Q815" i="3"/>
  <c r="M815" i="3"/>
  <c r="I815" i="3"/>
  <c r="E815" i="3"/>
  <c r="C815" i="3"/>
  <c r="Q814" i="3"/>
  <c r="M814" i="3"/>
  <c r="I814" i="3"/>
  <c r="E814" i="3"/>
  <c r="C814" i="3"/>
  <c r="Q813" i="3"/>
  <c r="M813" i="3"/>
  <c r="I813" i="3"/>
  <c r="E813" i="3"/>
  <c r="C813" i="3"/>
  <c r="Q812" i="3"/>
  <c r="M812" i="3"/>
  <c r="I812" i="3"/>
  <c r="E812" i="3"/>
  <c r="C812" i="3"/>
  <c r="Q811" i="3"/>
  <c r="M811" i="3"/>
  <c r="I811" i="3"/>
  <c r="E811" i="3"/>
  <c r="C811" i="3"/>
  <c r="Q810" i="3"/>
  <c r="M810" i="3"/>
  <c r="I810" i="3"/>
  <c r="E810" i="3"/>
  <c r="C810" i="3"/>
  <c r="Q809" i="3"/>
  <c r="M809" i="3"/>
  <c r="I809" i="3"/>
  <c r="E809" i="3"/>
  <c r="C809" i="3"/>
  <c r="Q808" i="3"/>
  <c r="M808" i="3"/>
  <c r="I808" i="3"/>
  <c r="E808" i="3"/>
  <c r="C808" i="3"/>
  <c r="Q807" i="3"/>
  <c r="M807" i="3"/>
  <c r="I807" i="3"/>
  <c r="E807" i="3"/>
  <c r="C807" i="3"/>
  <c r="Q806" i="3"/>
  <c r="M806" i="3"/>
  <c r="I806" i="3"/>
  <c r="E806" i="3"/>
  <c r="C806" i="3"/>
  <c r="Q805" i="3"/>
  <c r="M805" i="3"/>
  <c r="I805" i="3"/>
  <c r="E805" i="3"/>
  <c r="C805" i="3"/>
  <c r="Q804" i="3"/>
  <c r="M804" i="3"/>
  <c r="I804" i="3"/>
  <c r="E804" i="3"/>
  <c r="C804" i="3"/>
  <c r="Q803" i="3"/>
  <c r="M803" i="3"/>
  <c r="I803" i="3"/>
  <c r="E803" i="3"/>
  <c r="C803" i="3"/>
  <c r="Q802" i="3"/>
  <c r="M802" i="3"/>
  <c r="I802" i="3"/>
  <c r="E802" i="3"/>
  <c r="C802" i="3"/>
  <c r="Q801" i="3"/>
  <c r="M801" i="3"/>
  <c r="I801" i="3"/>
  <c r="E801" i="3"/>
  <c r="C801" i="3"/>
  <c r="Q800" i="3"/>
  <c r="M800" i="3"/>
  <c r="I800" i="3"/>
  <c r="E800" i="3"/>
  <c r="C800" i="3"/>
  <c r="Q799" i="3"/>
  <c r="M799" i="3"/>
  <c r="I799" i="3"/>
  <c r="E799" i="3"/>
  <c r="C799" i="3"/>
  <c r="Q798" i="3"/>
  <c r="M798" i="3"/>
  <c r="I798" i="3"/>
  <c r="E798" i="3"/>
  <c r="C798" i="3"/>
  <c r="Q797" i="3"/>
  <c r="M797" i="3"/>
  <c r="I797" i="3"/>
  <c r="E797" i="3"/>
  <c r="C797" i="3"/>
  <c r="Q796" i="3"/>
  <c r="M796" i="3"/>
  <c r="I796" i="3"/>
  <c r="E796" i="3"/>
  <c r="C796" i="3"/>
  <c r="Q795" i="3"/>
  <c r="M795" i="3"/>
  <c r="I795" i="3"/>
  <c r="E795" i="3"/>
  <c r="C795" i="3"/>
  <c r="Q794" i="3"/>
  <c r="M794" i="3"/>
  <c r="I794" i="3"/>
  <c r="E794" i="3"/>
  <c r="C794" i="3"/>
  <c r="Q793" i="3"/>
  <c r="M793" i="3"/>
  <c r="I793" i="3"/>
  <c r="E793" i="3"/>
  <c r="C793" i="3"/>
  <c r="Q792" i="3"/>
  <c r="M792" i="3"/>
  <c r="I792" i="3"/>
  <c r="E792" i="3"/>
  <c r="C792" i="3"/>
  <c r="Q791" i="3"/>
  <c r="M791" i="3"/>
  <c r="I791" i="3"/>
  <c r="E791" i="3"/>
  <c r="C791" i="3"/>
  <c r="Q790" i="3"/>
  <c r="M790" i="3"/>
  <c r="I790" i="3"/>
  <c r="E790" i="3"/>
  <c r="C790" i="3"/>
  <c r="Q789" i="3"/>
  <c r="M789" i="3"/>
  <c r="I789" i="3"/>
  <c r="E789" i="3"/>
  <c r="C789" i="3"/>
  <c r="Q788" i="3"/>
  <c r="M788" i="3"/>
  <c r="I788" i="3"/>
  <c r="E788" i="3"/>
  <c r="C788" i="3"/>
  <c r="Q787" i="3"/>
  <c r="M787" i="3"/>
  <c r="I787" i="3"/>
  <c r="E787" i="3"/>
  <c r="C787" i="3"/>
  <c r="Q786" i="3"/>
  <c r="M786" i="3"/>
  <c r="I786" i="3"/>
  <c r="E786" i="3"/>
  <c r="C786" i="3"/>
  <c r="Q785" i="3"/>
  <c r="M785" i="3"/>
  <c r="I785" i="3"/>
  <c r="E785" i="3"/>
  <c r="C785" i="3"/>
  <c r="Q784" i="3"/>
  <c r="M784" i="3"/>
  <c r="I784" i="3"/>
  <c r="E784" i="3"/>
  <c r="C784" i="3"/>
  <c r="Q783" i="3"/>
  <c r="M783" i="3"/>
  <c r="I783" i="3"/>
  <c r="E783" i="3"/>
  <c r="C783" i="3"/>
  <c r="Q782" i="3"/>
  <c r="M782" i="3"/>
  <c r="I782" i="3"/>
  <c r="E782" i="3"/>
  <c r="C782" i="3"/>
  <c r="Q781" i="3"/>
  <c r="M781" i="3"/>
  <c r="I781" i="3"/>
  <c r="E781" i="3"/>
  <c r="C781" i="3"/>
  <c r="Q780" i="3"/>
  <c r="M780" i="3"/>
  <c r="I780" i="3"/>
  <c r="E780" i="3"/>
  <c r="C780" i="3"/>
  <c r="Q779" i="3"/>
  <c r="M779" i="3"/>
  <c r="I779" i="3"/>
  <c r="E779" i="3"/>
  <c r="C779" i="3"/>
  <c r="Q778" i="3"/>
  <c r="M778" i="3"/>
  <c r="I778" i="3"/>
  <c r="E778" i="3"/>
  <c r="C778" i="3"/>
  <c r="Q777" i="3"/>
  <c r="M777" i="3"/>
  <c r="I777" i="3"/>
  <c r="E777" i="3"/>
  <c r="C777" i="3"/>
  <c r="Q776" i="3"/>
  <c r="M776" i="3"/>
  <c r="I776" i="3"/>
  <c r="E776" i="3"/>
  <c r="C776" i="3"/>
  <c r="Q775" i="3"/>
  <c r="M775" i="3"/>
  <c r="I775" i="3"/>
  <c r="E775" i="3"/>
  <c r="C775" i="3"/>
  <c r="Q774" i="3"/>
  <c r="M774" i="3"/>
  <c r="I774" i="3"/>
  <c r="E774" i="3"/>
  <c r="C774" i="3"/>
  <c r="Q773" i="3"/>
  <c r="M773" i="3"/>
  <c r="I773" i="3"/>
  <c r="E773" i="3"/>
  <c r="C773" i="3"/>
  <c r="Q772" i="3"/>
  <c r="M772" i="3"/>
  <c r="I772" i="3"/>
  <c r="E772" i="3"/>
  <c r="C772" i="3"/>
  <c r="Q771" i="3"/>
  <c r="M771" i="3"/>
  <c r="I771" i="3"/>
  <c r="E771" i="3"/>
  <c r="C771" i="3"/>
  <c r="Q770" i="3"/>
  <c r="M770" i="3"/>
  <c r="I770" i="3"/>
  <c r="E770" i="3"/>
  <c r="C770" i="3"/>
  <c r="Q769" i="3"/>
  <c r="M769" i="3"/>
  <c r="I769" i="3"/>
  <c r="E769" i="3"/>
  <c r="C769" i="3"/>
  <c r="Q768" i="3"/>
  <c r="M768" i="3"/>
  <c r="I768" i="3"/>
  <c r="E768" i="3"/>
  <c r="C768" i="3"/>
  <c r="Q767" i="3"/>
  <c r="M767" i="3"/>
  <c r="I767" i="3"/>
  <c r="E767" i="3"/>
  <c r="C767" i="3"/>
  <c r="Q766" i="3"/>
  <c r="M766" i="3"/>
  <c r="I766" i="3"/>
  <c r="E766" i="3"/>
  <c r="C766" i="3"/>
  <c r="Q765" i="3"/>
  <c r="M765" i="3"/>
  <c r="I765" i="3"/>
  <c r="E765" i="3"/>
  <c r="C765" i="3"/>
  <c r="Q764" i="3"/>
  <c r="M764" i="3"/>
  <c r="I764" i="3"/>
  <c r="E764" i="3"/>
  <c r="C764" i="3"/>
  <c r="Q763" i="3"/>
  <c r="M763" i="3"/>
  <c r="I763" i="3"/>
  <c r="E763" i="3"/>
  <c r="C763" i="3"/>
  <c r="Q762" i="3"/>
  <c r="M762" i="3"/>
  <c r="I762" i="3"/>
  <c r="E762" i="3"/>
  <c r="C762" i="3"/>
  <c r="Q761" i="3"/>
  <c r="M761" i="3"/>
  <c r="I761" i="3"/>
  <c r="E761" i="3"/>
  <c r="C761" i="3"/>
  <c r="Q760" i="3"/>
  <c r="M760" i="3"/>
  <c r="I760" i="3"/>
  <c r="E760" i="3"/>
  <c r="C760" i="3"/>
  <c r="Q759" i="3"/>
  <c r="M759" i="3"/>
  <c r="I759" i="3"/>
  <c r="E759" i="3"/>
  <c r="C759" i="3"/>
  <c r="Q758" i="3"/>
  <c r="M758" i="3"/>
  <c r="I758" i="3"/>
  <c r="E758" i="3"/>
  <c r="C758" i="3"/>
  <c r="Q757" i="3"/>
  <c r="M757" i="3"/>
  <c r="I757" i="3"/>
  <c r="E757" i="3"/>
  <c r="C757" i="3"/>
  <c r="Q756" i="3"/>
  <c r="M756" i="3"/>
  <c r="I756" i="3"/>
  <c r="E756" i="3"/>
  <c r="C756" i="3"/>
  <c r="Q755" i="3"/>
  <c r="M755" i="3"/>
  <c r="I755" i="3"/>
  <c r="E755" i="3"/>
  <c r="C755" i="3"/>
  <c r="Q754" i="3"/>
  <c r="M754" i="3"/>
  <c r="I754" i="3"/>
  <c r="E754" i="3"/>
  <c r="C754" i="3"/>
  <c r="Q753" i="3"/>
  <c r="M753" i="3"/>
  <c r="I753" i="3"/>
  <c r="E753" i="3"/>
  <c r="C753" i="3"/>
  <c r="Q752" i="3"/>
  <c r="M752" i="3"/>
  <c r="I752" i="3"/>
  <c r="E752" i="3"/>
  <c r="C752" i="3"/>
  <c r="Q751" i="3"/>
  <c r="M751" i="3"/>
  <c r="I751" i="3"/>
  <c r="E751" i="3"/>
  <c r="C751" i="3"/>
  <c r="Q750" i="3"/>
  <c r="M750" i="3"/>
  <c r="I750" i="3"/>
  <c r="E750" i="3"/>
  <c r="C750" i="3"/>
  <c r="Q749" i="3"/>
  <c r="M749" i="3"/>
  <c r="I749" i="3"/>
  <c r="E749" i="3"/>
  <c r="C749" i="3"/>
  <c r="Q748" i="3"/>
  <c r="M748" i="3"/>
  <c r="I748" i="3"/>
  <c r="E748" i="3"/>
  <c r="C748" i="3"/>
  <c r="Q747" i="3"/>
  <c r="M747" i="3"/>
  <c r="I747" i="3"/>
  <c r="E747" i="3"/>
  <c r="C747" i="3"/>
  <c r="Q746" i="3"/>
  <c r="M746" i="3"/>
  <c r="I746" i="3"/>
  <c r="E746" i="3"/>
  <c r="C746" i="3"/>
  <c r="Q745" i="3"/>
  <c r="M745" i="3"/>
  <c r="I745" i="3"/>
  <c r="E745" i="3"/>
  <c r="C745" i="3"/>
  <c r="Q744" i="3"/>
  <c r="M744" i="3"/>
  <c r="I744" i="3"/>
  <c r="E744" i="3"/>
  <c r="C744" i="3"/>
  <c r="Q743" i="3"/>
  <c r="M743" i="3"/>
  <c r="I743" i="3"/>
  <c r="E743" i="3"/>
  <c r="C743" i="3"/>
  <c r="Q742" i="3"/>
  <c r="M742" i="3"/>
  <c r="I742" i="3"/>
  <c r="E742" i="3"/>
  <c r="C742" i="3"/>
  <c r="Q741" i="3"/>
  <c r="M741" i="3"/>
  <c r="I741" i="3"/>
  <c r="E741" i="3"/>
  <c r="C741" i="3"/>
  <c r="Q740" i="3"/>
  <c r="M740" i="3"/>
  <c r="I740" i="3"/>
  <c r="E740" i="3"/>
  <c r="C740" i="3"/>
  <c r="Q739" i="3"/>
  <c r="M739" i="3"/>
  <c r="I739" i="3"/>
  <c r="E739" i="3"/>
  <c r="C739" i="3"/>
  <c r="Q738" i="3"/>
  <c r="M738" i="3"/>
  <c r="I738" i="3"/>
  <c r="E738" i="3"/>
  <c r="C738" i="3"/>
  <c r="Q737" i="3"/>
  <c r="M737" i="3"/>
  <c r="I737" i="3"/>
  <c r="E737" i="3"/>
  <c r="C737" i="3"/>
  <c r="Q736" i="3"/>
  <c r="M736" i="3"/>
  <c r="I736" i="3"/>
  <c r="E736" i="3"/>
  <c r="C736" i="3"/>
  <c r="Q735" i="3"/>
  <c r="M735" i="3"/>
  <c r="I735" i="3"/>
  <c r="E735" i="3"/>
  <c r="C735" i="3"/>
  <c r="Q734" i="3"/>
  <c r="M734" i="3"/>
  <c r="I734" i="3"/>
  <c r="E734" i="3"/>
  <c r="C734" i="3"/>
  <c r="Q733" i="3"/>
  <c r="M733" i="3"/>
  <c r="I733" i="3"/>
  <c r="E733" i="3"/>
  <c r="C733" i="3"/>
  <c r="Q732" i="3"/>
  <c r="M732" i="3"/>
  <c r="I732" i="3"/>
  <c r="E732" i="3"/>
  <c r="C732" i="3"/>
  <c r="Q731" i="3"/>
  <c r="M731" i="3"/>
  <c r="I731" i="3"/>
  <c r="E731" i="3"/>
  <c r="C731" i="3"/>
  <c r="Q730" i="3"/>
  <c r="M730" i="3"/>
  <c r="I730" i="3"/>
  <c r="E730" i="3"/>
  <c r="C730" i="3"/>
  <c r="Q729" i="3"/>
  <c r="M729" i="3"/>
  <c r="I729" i="3"/>
  <c r="E729" i="3"/>
  <c r="C729" i="3"/>
  <c r="Q728" i="3"/>
  <c r="M728" i="3"/>
  <c r="I728" i="3"/>
  <c r="E728" i="3"/>
  <c r="C728" i="3"/>
  <c r="Q727" i="3"/>
  <c r="M727" i="3"/>
  <c r="I727" i="3"/>
  <c r="E727" i="3"/>
  <c r="C727" i="3"/>
  <c r="Q726" i="3"/>
  <c r="M726" i="3"/>
  <c r="I726" i="3"/>
  <c r="E726" i="3"/>
  <c r="C726" i="3"/>
  <c r="Q725" i="3"/>
  <c r="M725" i="3"/>
  <c r="I725" i="3"/>
  <c r="E725" i="3"/>
  <c r="C725" i="3"/>
  <c r="Q724" i="3"/>
  <c r="M724" i="3"/>
  <c r="I724" i="3"/>
  <c r="E724" i="3"/>
  <c r="C724" i="3"/>
  <c r="Q723" i="3"/>
  <c r="M723" i="3"/>
  <c r="I723" i="3"/>
  <c r="E723" i="3"/>
  <c r="C723" i="3"/>
  <c r="Q722" i="3"/>
  <c r="M722" i="3"/>
  <c r="I722" i="3"/>
  <c r="E722" i="3"/>
  <c r="C722" i="3"/>
  <c r="Q721" i="3"/>
  <c r="M721" i="3"/>
  <c r="I721" i="3"/>
  <c r="E721" i="3"/>
  <c r="C721" i="3"/>
  <c r="Q720" i="3"/>
  <c r="M720" i="3"/>
  <c r="I720" i="3"/>
  <c r="E720" i="3"/>
  <c r="C720" i="3"/>
  <c r="Q719" i="3"/>
  <c r="M719" i="3"/>
  <c r="I719" i="3"/>
  <c r="E719" i="3"/>
  <c r="C719" i="3"/>
  <c r="Q718" i="3"/>
  <c r="M718" i="3"/>
  <c r="I718" i="3"/>
  <c r="E718" i="3"/>
  <c r="C718" i="3"/>
  <c r="Q717" i="3"/>
  <c r="M717" i="3"/>
  <c r="I717" i="3"/>
  <c r="E717" i="3"/>
  <c r="C717" i="3"/>
  <c r="Q716" i="3"/>
  <c r="M716" i="3"/>
  <c r="I716" i="3"/>
  <c r="E716" i="3"/>
  <c r="C716" i="3"/>
  <c r="Q715" i="3"/>
  <c r="M715" i="3"/>
  <c r="I715" i="3"/>
  <c r="E715" i="3"/>
  <c r="C715" i="3"/>
  <c r="Q714" i="3"/>
  <c r="M714" i="3"/>
  <c r="I714" i="3"/>
  <c r="E714" i="3"/>
  <c r="C714" i="3"/>
  <c r="Q713" i="3"/>
  <c r="M713" i="3"/>
  <c r="I713" i="3"/>
  <c r="E713" i="3"/>
  <c r="C713" i="3"/>
  <c r="Q712" i="3"/>
  <c r="M712" i="3"/>
  <c r="I712" i="3"/>
  <c r="E712" i="3"/>
  <c r="C712" i="3"/>
  <c r="Q711" i="3"/>
  <c r="M711" i="3"/>
  <c r="I711" i="3"/>
  <c r="E711" i="3"/>
  <c r="C711" i="3"/>
  <c r="Q710" i="3"/>
  <c r="M710" i="3"/>
  <c r="I710" i="3"/>
  <c r="E710" i="3"/>
  <c r="C710" i="3"/>
  <c r="Q709" i="3"/>
  <c r="M709" i="3"/>
  <c r="I709" i="3"/>
  <c r="E709" i="3"/>
  <c r="C709" i="3"/>
  <c r="Q708" i="3"/>
  <c r="M708" i="3"/>
  <c r="I708" i="3"/>
  <c r="E708" i="3"/>
  <c r="C708" i="3"/>
  <c r="Q707" i="3"/>
  <c r="M707" i="3"/>
  <c r="I707" i="3"/>
  <c r="E707" i="3"/>
  <c r="C707" i="3"/>
  <c r="Q706" i="3"/>
  <c r="M706" i="3"/>
  <c r="I706" i="3"/>
  <c r="E706" i="3"/>
  <c r="C706" i="3"/>
  <c r="Q705" i="3"/>
  <c r="M705" i="3"/>
  <c r="I705" i="3"/>
  <c r="E705" i="3"/>
  <c r="C705" i="3"/>
  <c r="Q704" i="3"/>
  <c r="M704" i="3"/>
  <c r="I704" i="3"/>
  <c r="E704" i="3"/>
  <c r="C704" i="3"/>
  <c r="Q703" i="3"/>
  <c r="M703" i="3"/>
  <c r="I703" i="3"/>
  <c r="E703" i="3"/>
  <c r="C703" i="3"/>
  <c r="Q702" i="3"/>
  <c r="M702" i="3"/>
  <c r="I702" i="3"/>
  <c r="E702" i="3"/>
  <c r="C702" i="3"/>
  <c r="Q701" i="3"/>
  <c r="M701" i="3"/>
  <c r="I701" i="3"/>
  <c r="E701" i="3"/>
  <c r="C701" i="3"/>
  <c r="Q700" i="3"/>
  <c r="M700" i="3"/>
  <c r="I700" i="3"/>
  <c r="E700" i="3"/>
  <c r="C700" i="3"/>
  <c r="Q699" i="3"/>
  <c r="M699" i="3"/>
  <c r="I699" i="3"/>
  <c r="E699" i="3"/>
  <c r="C699" i="3"/>
  <c r="Q698" i="3"/>
  <c r="M698" i="3"/>
  <c r="I698" i="3"/>
  <c r="E698" i="3"/>
  <c r="C698" i="3"/>
  <c r="Q697" i="3"/>
  <c r="M697" i="3"/>
  <c r="I697" i="3"/>
  <c r="E697" i="3"/>
  <c r="C697" i="3"/>
  <c r="Q696" i="3"/>
  <c r="M696" i="3"/>
  <c r="I696" i="3"/>
  <c r="E696" i="3"/>
  <c r="C696" i="3"/>
  <c r="Q695" i="3"/>
  <c r="M695" i="3"/>
  <c r="I695" i="3"/>
  <c r="E695" i="3"/>
  <c r="C695" i="3"/>
  <c r="Q694" i="3"/>
  <c r="M694" i="3"/>
  <c r="I694" i="3"/>
  <c r="E694" i="3"/>
  <c r="C694" i="3"/>
  <c r="Q693" i="3"/>
  <c r="M693" i="3"/>
  <c r="I693" i="3"/>
  <c r="E693" i="3"/>
  <c r="C693" i="3"/>
  <c r="Q692" i="3"/>
  <c r="M692" i="3"/>
  <c r="I692" i="3"/>
  <c r="E692" i="3"/>
  <c r="C692" i="3"/>
  <c r="Q691" i="3"/>
  <c r="M691" i="3"/>
  <c r="I691" i="3"/>
  <c r="E691" i="3"/>
  <c r="C691" i="3"/>
  <c r="Q690" i="3"/>
  <c r="M690" i="3"/>
  <c r="I690" i="3"/>
  <c r="E690" i="3"/>
  <c r="C690" i="3"/>
  <c r="Q689" i="3"/>
  <c r="M689" i="3"/>
  <c r="I689" i="3"/>
  <c r="E689" i="3"/>
  <c r="C689" i="3"/>
  <c r="Q688" i="3"/>
  <c r="M688" i="3"/>
  <c r="I688" i="3"/>
  <c r="E688" i="3"/>
  <c r="C688" i="3"/>
  <c r="Q687" i="3"/>
  <c r="M687" i="3"/>
  <c r="I687" i="3"/>
  <c r="E687" i="3"/>
  <c r="C687" i="3"/>
  <c r="Q686" i="3"/>
  <c r="M686" i="3"/>
  <c r="I686" i="3"/>
  <c r="E686" i="3"/>
  <c r="C686" i="3"/>
  <c r="Q685" i="3"/>
  <c r="M685" i="3"/>
  <c r="I685" i="3"/>
  <c r="E685" i="3"/>
  <c r="C685" i="3"/>
  <c r="Q684" i="3"/>
  <c r="M684" i="3"/>
  <c r="I684" i="3"/>
  <c r="E684" i="3"/>
  <c r="C684" i="3"/>
  <c r="Q683" i="3"/>
  <c r="M683" i="3"/>
  <c r="I683" i="3"/>
  <c r="E683" i="3"/>
  <c r="C683" i="3"/>
  <c r="Q682" i="3"/>
  <c r="M682" i="3"/>
  <c r="I682" i="3"/>
  <c r="E682" i="3"/>
  <c r="C682" i="3"/>
  <c r="Q681" i="3"/>
  <c r="M681" i="3"/>
  <c r="I681" i="3"/>
  <c r="E681" i="3"/>
  <c r="C681" i="3"/>
  <c r="Q680" i="3"/>
  <c r="M680" i="3"/>
  <c r="I680" i="3"/>
  <c r="E680" i="3"/>
  <c r="C680" i="3"/>
  <c r="Q679" i="3"/>
  <c r="M679" i="3"/>
  <c r="I679" i="3"/>
  <c r="E679" i="3"/>
  <c r="C679" i="3"/>
  <c r="Q678" i="3"/>
  <c r="M678" i="3"/>
  <c r="I678" i="3"/>
  <c r="E678" i="3"/>
  <c r="C678" i="3"/>
  <c r="Q677" i="3"/>
  <c r="M677" i="3"/>
  <c r="I677" i="3"/>
  <c r="E677" i="3"/>
  <c r="C677" i="3"/>
  <c r="Q676" i="3"/>
  <c r="M676" i="3"/>
  <c r="I676" i="3"/>
  <c r="E676" i="3"/>
  <c r="C676" i="3"/>
  <c r="Q675" i="3"/>
  <c r="M675" i="3"/>
  <c r="I675" i="3"/>
  <c r="E675" i="3"/>
  <c r="C675" i="3"/>
  <c r="Q674" i="3"/>
  <c r="M674" i="3"/>
  <c r="I674" i="3"/>
  <c r="E674" i="3"/>
  <c r="C674" i="3"/>
  <c r="Q673" i="3"/>
  <c r="M673" i="3"/>
  <c r="I673" i="3"/>
  <c r="E673" i="3"/>
  <c r="C673" i="3"/>
  <c r="Q672" i="3"/>
  <c r="M672" i="3"/>
  <c r="I672" i="3"/>
  <c r="E672" i="3"/>
  <c r="C672" i="3"/>
  <c r="Q671" i="3"/>
  <c r="M671" i="3"/>
  <c r="I671" i="3"/>
  <c r="E671" i="3"/>
  <c r="C671" i="3"/>
  <c r="Q670" i="3"/>
  <c r="M670" i="3"/>
  <c r="I670" i="3"/>
  <c r="E670" i="3"/>
  <c r="C670" i="3"/>
  <c r="Q669" i="3"/>
  <c r="M669" i="3"/>
  <c r="I669" i="3"/>
  <c r="E669" i="3"/>
  <c r="C669" i="3"/>
  <c r="Q668" i="3"/>
  <c r="M668" i="3"/>
  <c r="I668" i="3"/>
  <c r="E668" i="3"/>
  <c r="C668" i="3"/>
  <c r="Q667" i="3"/>
  <c r="M667" i="3"/>
  <c r="I667" i="3"/>
  <c r="E667" i="3"/>
  <c r="C667" i="3"/>
  <c r="Q666" i="3"/>
  <c r="M666" i="3"/>
  <c r="I666" i="3"/>
  <c r="E666" i="3"/>
  <c r="C666" i="3"/>
  <c r="Q665" i="3"/>
  <c r="M665" i="3"/>
  <c r="I665" i="3"/>
  <c r="E665" i="3"/>
  <c r="C665" i="3"/>
  <c r="Q664" i="3"/>
  <c r="M664" i="3"/>
  <c r="I664" i="3"/>
  <c r="E664" i="3"/>
  <c r="C664" i="3"/>
  <c r="Q663" i="3"/>
  <c r="M663" i="3"/>
  <c r="I663" i="3"/>
  <c r="E663" i="3"/>
  <c r="C663" i="3"/>
  <c r="Q662" i="3"/>
  <c r="M662" i="3"/>
  <c r="I662" i="3"/>
  <c r="E662" i="3"/>
  <c r="C662" i="3"/>
  <c r="Q661" i="3"/>
  <c r="M661" i="3"/>
  <c r="I661" i="3"/>
  <c r="E661" i="3"/>
  <c r="C661" i="3"/>
  <c r="Q660" i="3"/>
  <c r="M660" i="3"/>
  <c r="I660" i="3"/>
  <c r="E660" i="3"/>
  <c r="C660" i="3"/>
  <c r="Q659" i="3"/>
  <c r="M659" i="3"/>
  <c r="I659" i="3"/>
  <c r="E659" i="3"/>
  <c r="C659" i="3"/>
  <c r="Q658" i="3"/>
  <c r="M658" i="3"/>
  <c r="I658" i="3"/>
  <c r="E658" i="3"/>
  <c r="C658" i="3"/>
  <c r="Q657" i="3"/>
  <c r="M657" i="3"/>
  <c r="I657" i="3"/>
  <c r="E657" i="3"/>
  <c r="C657" i="3"/>
  <c r="Q656" i="3"/>
  <c r="M656" i="3"/>
  <c r="I656" i="3"/>
  <c r="E656" i="3"/>
  <c r="C656" i="3"/>
  <c r="Q655" i="3"/>
  <c r="M655" i="3"/>
  <c r="I655" i="3"/>
  <c r="E655" i="3"/>
  <c r="C655" i="3"/>
  <c r="Q654" i="3"/>
  <c r="M654" i="3"/>
  <c r="I654" i="3"/>
  <c r="E654" i="3"/>
  <c r="C654" i="3"/>
  <c r="Q653" i="3"/>
  <c r="M653" i="3"/>
  <c r="I653" i="3"/>
  <c r="E653" i="3"/>
  <c r="C653" i="3"/>
  <c r="Q652" i="3"/>
  <c r="M652" i="3"/>
  <c r="I652" i="3"/>
  <c r="E652" i="3"/>
  <c r="C652" i="3"/>
  <c r="Q651" i="3"/>
  <c r="M651" i="3"/>
  <c r="I651" i="3"/>
  <c r="E651" i="3"/>
  <c r="C651" i="3"/>
  <c r="Q650" i="3"/>
  <c r="M650" i="3"/>
  <c r="I650" i="3"/>
  <c r="E650" i="3"/>
  <c r="C650" i="3"/>
  <c r="Q649" i="3"/>
  <c r="M649" i="3"/>
  <c r="I649" i="3"/>
  <c r="E649" i="3"/>
  <c r="C649" i="3"/>
  <c r="Q648" i="3"/>
  <c r="M648" i="3"/>
  <c r="I648" i="3"/>
  <c r="E648" i="3"/>
  <c r="C648" i="3"/>
  <c r="Q647" i="3"/>
  <c r="M647" i="3"/>
  <c r="I647" i="3"/>
  <c r="E647" i="3"/>
  <c r="C647" i="3"/>
  <c r="Q646" i="3"/>
  <c r="M646" i="3"/>
  <c r="I646" i="3"/>
  <c r="E646" i="3"/>
  <c r="C646" i="3"/>
  <c r="Q645" i="3"/>
  <c r="M645" i="3"/>
  <c r="I645" i="3"/>
  <c r="E645" i="3"/>
  <c r="C645" i="3"/>
  <c r="Q644" i="3"/>
  <c r="M644" i="3"/>
  <c r="I644" i="3"/>
  <c r="E644" i="3"/>
  <c r="C644" i="3"/>
  <c r="Q643" i="3"/>
  <c r="M643" i="3"/>
  <c r="I643" i="3"/>
  <c r="E643" i="3"/>
  <c r="C643" i="3"/>
  <c r="Q642" i="3"/>
  <c r="M642" i="3"/>
  <c r="I642" i="3"/>
  <c r="E642" i="3"/>
  <c r="C642" i="3"/>
  <c r="Q641" i="3"/>
  <c r="M641" i="3"/>
  <c r="I641" i="3"/>
  <c r="E641" i="3"/>
  <c r="C641" i="3"/>
  <c r="Q640" i="3"/>
  <c r="M640" i="3"/>
  <c r="I640" i="3"/>
  <c r="E640" i="3"/>
  <c r="C640" i="3"/>
  <c r="Q639" i="3"/>
  <c r="M639" i="3"/>
  <c r="I639" i="3"/>
  <c r="E639" i="3"/>
  <c r="C639" i="3"/>
  <c r="Q638" i="3"/>
  <c r="M638" i="3"/>
  <c r="I638" i="3"/>
  <c r="E638" i="3"/>
  <c r="C638" i="3"/>
  <c r="Q637" i="3"/>
  <c r="M637" i="3"/>
  <c r="I637" i="3"/>
  <c r="E637" i="3"/>
  <c r="C637" i="3"/>
  <c r="Q636" i="3"/>
  <c r="M636" i="3"/>
  <c r="I636" i="3"/>
  <c r="E636" i="3"/>
  <c r="C636" i="3"/>
  <c r="Q635" i="3"/>
  <c r="M635" i="3"/>
  <c r="I635" i="3"/>
  <c r="E635" i="3"/>
  <c r="C635" i="3"/>
  <c r="Q634" i="3"/>
  <c r="M634" i="3"/>
  <c r="I634" i="3"/>
  <c r="E634" i="3"/>
  <c r="C634" i="3"/>
  <c r="Q633" i="3"/>
  <c r="M633" i="3"/>
  <c r="I633" i="3"/>
  <c r="E633" i="3"/>
  <c r="C633" i="3"/>
  <c r="Q632" i="3"/>
  <c r="M632" i="3"/>
  <c r="I632" i="3"/>
  <c r="E632" i="3"/>
  <c r="C632" i="3"/>
  <c r="Q631" i="3"/>
  <c r="M631" i="3"/>
  <c r="I631" i="3"/>
  <c r="E631" i="3"/>
  <c r="C631" i="3"/>
  <c r="Q630" i="3"/>
  <c r="M630" i="3"/>
  <c r="I630" i="3"/>
  <c r="E630" i="3"/>
  <c r="C630" i="3"/>
  <c r="Q629" i="3"/>
  <c r="M629" i="3"/>
  <c r="I629" i="3"/>
  <c r="E629" i="3"/>
  <c r="C629" i="3"/>
  <c r="Q628" i="3"/>
  <c r="M628" i="3"/>
  <c r="I628" i="3"/>
  <c r="E628" i="3"/>
  <c r="C628" i="3"/>
  <c r="Q627" i="3"/>
  <c r="M627" i="3"/>
  <c r="I627" i="3"/>
  <c r="E627" i="3"/>
  <c r="C627" i="3"/>
  <c r="Q626" i="3"/>
  <c r="M626" i="3"/>
  <c r="I626" i="3"/>
  <c r="E626" i="3"/>
  <c r="C626" i="3"/>
  <c r="Q625" i="3"/>
  <c r="M625" i="3"/>
  <c r="I625" i="3"/>
  <c r="E625" i="3"/>
  <c r="C625" i="3"/>
  <c r="Q624" i="3"/>
  <c r="M624" i="3"/>
  <c r="I624" i="3"/>
  <c r="E624" i="3"/>
  <c r="C624" i="3"/>
  <c r="Q623" i="3"/>
  <c r="M623" i="3"/>
  <c r="I623" i="3"/>
  <c r="E623" i="3"/>
  <c r="C623" i="3"/>
  <c r="Q622" i="3"/>
  <c r="M622" i="3"/>
  <c r="I622" i="3"/>
  <c r="E622" i="3"/>
  <c r="C622" i="3"/>
  <c r="Q621" i="3"/>
  <c r="M621" i="3"/>
  <c r="I621" i="3"/>
  <c r="E621" i="3"/>
  <c r="C621" i="3"/>
  <c r="Q620" i="3"/>
  <c r="M620" i="3"/>
  <c r="I620" i="3"/>
  <c r="E620" i="3"/>
  <c r="C620" i="3"/>
  <c r="Q619" i="3"/>
  <c r="M619" i="3"/>
  <c r="I619" i="3"/>
  <c r="E619" i="3"/>
  <c r="C619" i="3"/>
  <c r="Q618" i="3"/>
  <c r="M618" i="3"/>
  <c r="I618" i="3"/>
  <c r="E618" i="3"/>
  <c r="C618" i="3"/>
  <c r="Q617" i="3"/>
  <c r="M617" i="3"/>
  <c r="I617" i="3"/>
  <c r="E617" i="3"/>
  <c r="C617" i="3"/>
  <c r="Q616" i="3"/>
  <c r="M616" i="3"/>
  <c r="I616" i="3"/>
  <c r="E616" i="3"/>
  <c r="C616" i="3"/>
  <c r="Q615" i="3"/>
  <c r="M615" i="3"/>
  <c r="I615" i="3"/>
  <c r="E615" i="3"/>
  <c r="C615" i="3"/>
  <c r="Q614" i="3"/>
  <c r="M614" i="3"/>
  <c r="I614" i="3"/>
  <c r="E614" i="3"/>
  <c r="C614" i="3"/>
  <c r="Q613" i="3"/>
  <c r="M613" i="3"/>
  <c r="I613" i="3"/>
  <c r="E613" i="3"/>
  <c r="C613" i="3"/>
  <c r="Q612" i="3"/>
  <c r="M612" i="3"/>
  <c r="I612" i="3"/>
  <c r="E612" i="3"/>
  <c r="C612" i="3"/>
  <c r="Q611" i="3"/>
  <c r="M611" i="3"/>
  <c r="I611" i="3"/>
  <c r="E611" i="3"/>
  <c r="C611" i="3"/>
  <c r="Q610" i="3"/>
  <c r="M610" i="3"/>
  <c r="I610" i="3"/>
  <c r="E610" i="3"/>
  <c r="C610" i="3"/>
  <c r="Q609" i="3"/>
  <c r="M609" i="3"/>
  <c r="I609" i="3"/>
  <c r="E609" i="3"/>
  <c r="C609" i="3"/>
  <c r="Q608" i="3"/>
  <c r="M608" i="3"/>
  <c r="I608" i="3"/>
  <c r="E608" i="3"/>
  <c r="C608" i="3"/>
  <c r="Q607" i="3"/>
  <c r="M607" i="3"/>
  <c r="I607" i="3"/>
  <c r="E607" i="3"/>
  <c r="C607" i="3"/>
  <c r="Q606" i="3"/>
  <c r="M606" i="3"/>
  <c r="I606" i="3"/>
  <c r="E606" i="3"/>
  <c r="C606" i="3"/>
  <c r="Q605" i="3"/>
  <c r="M605" i="3"/>
  <c r="I605" i="3"/>
  <c r="E605" i="3"/>
  <c r="C605" i="3"/>
  <c r="Q604" i="3"/>
  <c r="M604" i="3"/>
  <c r="I604" i="3"/>
  <c r="E604" i="3"/>
  <c r="C604" i="3"/>
  <c r="Q603" i="3"/>
  <c r="M603" i="3"/>
  <c r="I603" i="3"/>
  <c r="E603" i="3"/>
  <c r="C603" i="3"/>
  <c r="Q602" i="3"/>
  <c r="M602" i="3"/>
  <c r="I602" i="3"/>
  <c r="E602" i="3"/>
  <c r="C602" i="3"/>
  <c r="Q601" i="3"/>
  <c r="M601" i="3"/>
  <c r="I601" i="3"/>
  <c r="E601" i="3"/>
  <c r="C601" i="3"/>
  <c r="Q600" i="3"/>
  <c r="M600" i="3"/>
  <c r="I600" i="3"/>
  <c r="E600" i="3"/>
  <c r="C600" i="3"/>
  <c r="Q599" i="3"/>
  <c r="M599" i="3"/>
  <c r="I599" i="3"/>
  <c r="E599" i="3"/>
  <c r="C599" i="3"/>
  <c r="Q598" i="3"/>
  <c r="M598" i="3"/>
  <c r="I598" i="3"/>
  <c r="E598" i="3"/>
  <c r="C598" i="3"/>
  <c r="Q597" i="3"/>
  <c r="M597" i="3"/>
  <c r="I597" i="3"/>
  <c r="E597" i="3"/>
  <c r="C597" i="3"/>
  <c r="Q596" i="3"/>
  <c r="M596" i="3"/>
  <c r="I596" i="3"/>
  <c r="E596" i="3"/>
  <c r="C596" i="3"/>
  <c r="Q595" i="3"/>
  <c r="M595" i="3"/>
  <c r="I595" i="3"/>
  <c r="E595" i="3"/>
  <c r="C595" i="3"/>
  <c r="Q594" i="3"/>
  <c r="M594" i="3"/>
  <c r="I594" i="3"/>
  <c r="E594" i="3"/>
  <c r="C594" i="3"/>
  <c r="Q593" i="3"/>
  <c r="M593" i="3"/>
  <c r="I593" i="3"/>
  <c r="E593" i="3"/>
  <c r="C593" i="3"/>
  <c r="Q592" i="3"/>
  <c r="M592" i="3"/>
  <c r="I592" i="3"/>
  <c r="E592" i="3"/>
  <c r="C592" i="3"/>
  <c r="Q591" i="3"/>
  <c r="M591" i="3"/>
  <c r="I591" i="3"/>
  <c r="E591" i="3"/>
  <c r="C591" i="3"/>
  <c r="Q590" i="3"/>
  <c r="M590" i="3"/>
  <c r="I590" i="3"/>
  <c r="E590" i="3"/>
  <c r="C590" i="3"/>
  <c r="Q589" i="3"/>
  <c r="M589" i="3"/>
  <c r="I589" i="3"/>
  <c r="E589" i="3"/>
  <c r="C589" i="3"/>
  <c r="Q588" i="3"/>
  <c r="M588" i="3"/>
  <c r="I588" i="3"/>
  <c r="E588" i="3"/>
  <c r="C588" i="3"/>
  <c r="Q587" i="3"/>
  <c r="M587" i="3"/>
  <c r="I587" i="3"/>
  <c r="E587" i="3"/>
  <c r="C587" i="3"/>
  <c r="Q586" i="3"/>
  <c r="M586" i="3"/>
  <c r="I586" i="3"/>
  <c r="E586" i="3"/>
  <c r="C586" i="3"/>
  <c r="Q585" i="3"/>
  <c r="M585" i="3"/>
  <c r="I585" i="3"/>
  <c r="E585" i="3"/>
  <c r="C585" i="3"/>
  <c r="Q584" i="3"/>
  <c r="M584" i="3"/>
  <c r="I584" i="3"/>
  <c r="E584" i="3"/>
  <c r="C584" i="3"/>
  <c r="Q583" i="3"/>
  <c r="M583" i="3"/>
  <c r="I583" i="3"/>
  <c r="E583" i="3"/>
  <c r="C583" i="3"/>
  <c r="Q582" i="3"/>
  <c r="M582" i="3"/>
  <c r="I582" i="3"/>
  <c r="E582" i="3"/>
  <c r="C582" i="3"/>
  <c r="Q581" i="3"/>
  <c r="M581" i="3"/>
  <c r="I581" i="3"/>
  <c r="E581" i="3"/>
  <c r="C581" i="3"/>
  <c r="Q580" i="3"/>
  <c r="M580" i="3"/>
  <c r="I580" i="3"/>
  <c r="E580" i="3"/>
  <c r="C580" i="3"/>
  <c r="Q579" i="3"/>
  <c r="M579" i="3"/>
  <c r="I579" i="3"/>
  <c r="E579" i="3"/>
  <c r="C579" i="3"/>
  <c r="Q578" i="3"/>
  <c r="M578" i="3"/>
  <c r="I578" i="3"/>
  <c r="E578" i="3"/>
  <c r="C578" i="3"/>
  <c r="Q577" i="3"/>
  <c r="M577" i="3"/>
  <c r="I577" i="3"/>
  <c r="E577" i="3"/>
  <c r="C577" i="3"/>
  <c r="Q576" i="3"/>
  <c r="M576" i="3"/>
  <c r="I576" i="3"/>
  <c r="E576" i="3"/>
  <c r="C576" i="3"/>
  <c r="Q575" i="3"/>
  <c r="M575" i="3"/>
  <c r="I575" i="3"/>
  <c r="E575" i="3"/>
  <c r="C575" i="3"/>
  <c r="Q574" i="3"/>
  <c r="M574" i="3"/>
  <c r="I574" i="3"/>
  <c r="E574" i="3"/>
  <c r="C574" i="3"/>
  <c r="Q573" i="3"/>
  <c r="M573" i="3"/>
  <c r="I573" i="3"/>
  <c r="E573" i="3"/>
  <c r="C573" i="3"/>
  <c r="Q572" i="3"/>
  <c r="M572" i="3"/>
  <c r="I572" i="3"/>
  <c r="E572" i="3"/>
  <c r="C572" i="3"/>
  <c r="Q571" i="3"/>
  <c r="M571" i="3"/>
  <c r="I571" i="3"/>
  <c r="E571" i="3"/>
  <c r="C571" i="3"/>
  <c r="Q570" i="3"/>
  <c r="M570" i="3"/>
  <c r="I570" i="3"/>
  <c r="E570" i="3"/>
  <c r="C570" i="3"/>
  <c r="Q569" i="3"/>
  <c r="M569" i="3"/>
  <c r="I569" i="3"/>
  <c r="E569" i="3"/>
  <c r="C569" i="3"/>
  <c r="Q568" i="3"/>
  <c r="M568" i="3"/>
  <c r="I568" i="3"/>
  <c r="E568" i="3"/>
  <c r="C568" i="3"/>
  <c r="Q567" i="3"/>
  <c r="M567" i="3"/>
  <c r="I567" i="3"/>
  <c r="E567" i="3"/>
  <c r="C567" i="3"/>
  <c r="Q566" i="3"/>
  <c r="M566" i="3"/>
  <c r="I566" i="3"/>
  <c r="E566" i="3"/>
  <c r="C566" i="3"/>
  <c r="Q565" i="3"/>
  <c r="M565" i="3"/>
  <c r="I565" i="3"/>
  <c r="E565" i="3"/>
  <c r="C565" i="3"/>
  <c r="Q564" i="3"/>
  <c r="M564" i="3"/>
  <c r="I564" i="3"/>
  <c r="E564" i="3"/>
  <c r="C564" i="3"/>
  <c r="Q563" i="3"/>
  <c r="M563" i="3"/>
  <c r="I563" i="3"/>
  <c r="E563" i="3"/>
  <c r="C563" i="3"/>
  <c r="Q562" i="3"/>
  <c r="M562" i="3"/>
  <c r="I562" i="3"/>
  <c r="E562" i="3"/>
  <c r="C562" i="3"/>
  <c r="Q561" i="3"/>
  <c r="M561" i="3"/>
  <c r="I561" i="3"/>
  <c r="E561" i="3"/>
  <c r="C561" i="3"/>
  <c r="Q560" i="3"/>
  <c r="M560" i="3"/>
  <c r="I560" i="3"/>
  <c r="E560" i="3"/>
  <c r="C560" i="3"/>
  <c r="Q559" i="3"/>
  <c r="M559" i="3"/>
  <c r="I559" i="3"/>
  <c r="E559" i="3"/>
  <c r="C559" i="3"/>
  <c r="Q558" i="3"/>
  <c r="M558" i="3"/>
  <c r="I558" i="3"/>
  <c r="E558" i="3"/>
  <c r="C558" i="3"/>
  <c r="Q557" i="3"/>
  <c r="M557" i="3"/>
  <c r="I557" i="3"/>
  <c r="E557" i="3"/>
  <c r="C557" i="3"/>
  <c r="Q556" i="3"/>
  <c r="M556" i="3"/>
  <c r="I556" i="3"/>
  <c r="E556" i="3"/>
  <c r="C556" i="3"/>
  <c r="Q555" i="3"/>
  <c r="M555" i="3"/>
  <c r="I555" i="3"/>
  <c r="E555" i="3"/>
  <c r="C555" i="3"/>
  <c r="Q554" i="3"/>
  <c r="M554" i="3"/>
  <c r="I554" i="3"/>
  <c r="E554" i="3"/>
  <c r="C554" i="3"/>
  <c r="Q553" i="3"/>
  <c r="M553" i="3"/>
  <c r="I553" i="3"/>
  <c r="E553" i="3"/>
  <c r="C553" i="3"/>
  <c r="Q552" i="3"/>
  <c r="M552" i="3"/>
  <c r="I552" i="3"/>
  <c r="E552" i="3"/>
  <c r="C552" i="3"/>
  <c r="Q551" i="3"/>
  <c r="M551" i="3"/>
  <c r="I551" i="3"/>
  <c r="E551" i="3"/>
  <c r="C551" i="3"/>
  <c r="Q550" i="3"/>
  <c r="M550" i="3"/>
  <c r="I550" i="3"/>
  <c r="E550" i="3"/>
  <c r="C550" i="3"/>
  <c r="Q549" i="3"/>
  <c r="M549" i="3"/>
  <c r="I549" i="3"/>
  <c r="E549" i="3"/>
  <c r="C549" i="3"/>
  <c r="Q548" i="3"/>
  <c r="M548" i="3"/>
  <c r="I548" i="3"/>
  <c r="E548" i="3"/>
  <c r="C548" i="3"/>
  <c r="Q547" i="3"/>
  <c r="M547" i="3"/>
  <c r="I547" i="3"/>
  <c r="E547" i="3"/>
  <c r="C547" i="3"/>
  <c r="Q546" i="3"/>
  <c r="M546" i="3"/>
  <c r="I546" i="3"/>
  <c r="E546" i="3"/>
  <c r="C546" i="3"/>
  <c r="Q545" i="3"/>
  <c r="M545" i="3"/>
  <c r="I545" i="3"/>
  <c r="E545" i="3"/>
  <c r="C545" i="3"/>
  <c r="Q544" i="3"/>
  <c r="M544" i="3"/>
  <c r="I544" i="3"/>
  <c r="E544" i="3"/>
  <c r="C544" i="3"/>
  <c r="Q543" i="3"/>
  <c r="M543" i="3"/>
  <c r="I543" i="3"/>
  <c r="E543" i="3"/>
  <c r="C543" i="3"/>
  <c r="Q542" i="3"/>
  <c r="M542" i="3"/>
  <c r="I542" i="3"/>
  <c r="E542" i="3"/>
  <c r="C542" i="3"/>
  <c r="Q541" i="3"/>
  <c r="M541" i="3"/>
  <c r="I541" i="3"/>
  <c r="E541" i="3"/>
  <c r="C541" i="3"/>
  <c r="Q540" i="3"/>
  <c r="M540" i="3"/>
  <c r="I540" i="3"/>
  <c r="E540" i="3"/>
  <c r="C540" i="3"/>
  <c r="Q539" i="3"/>
  <c r="M539" i="3"/>
  <c r="I539" i="3"/>
  <c r="E539" i="3"/>
  <c r="C539" i="3"/>
  <c r="Q538" i="3"/>
  <c r="M538" i="3"/>
  <c r="I538" i="3"/>
  <c r="E538" i="3"/>
  <c r="C538" i="3"/>
  <c r="Q537" i="3"/>
  <c r="M537" i="3"/>
  <c r="I537" i="3"/>
  <c r="E537" i="3"/>
  <c r="C537" i="3"/>
  <c r="Q536" i="3"/>
  <c r="M536" i="3"/>
  <c r="I536" i="3"/>
  <c r="E536" i="3"/>
  <c r="C536" i="3"/>
  <c r="Q535" i="3"/>
  <c r="M535" i="3"/>
  <c r="I535" i="3"/>
  <c r="E535" i="3"/>
  <c r="C535" i="3"/>
  <c r="Q534" i="3"/>
  <c r="M534" i="3"/>
  <c r="I534" i="3"/>
  <c r="E534" i="3"/>
  <c r="C534" i="3"/>
  <c r="Q533" i="3"/>
  <c r="M533" i="3"/>
  <c r="I533" i="3"/>
  <c r="E533" i="3"/>
  <c r="C533" i="3"/>
  <c r="Q532" i="3"/>
  <c r="M532" i="3"/>
  <c r="I532" i="3"/>
  <c r="E532" i="3"/>
  <c r="C532" i="3"/>
  <c r="Q531" i="3"/>
  <c r="M531" i="3"/>
  <c r="I531" i="3"/>
  <c r="E531" i="3"/>
  <c r="C531" i="3"/>
  <c r="Q530" i="3"/>
  <c r="M530" i="3"/>
  <c r="I530" i="3"/>
  <c r="E530" i="3"/>
  <c r="C530" i="3"/>
  <c r="Q529" i="3"/>
  <c r="M529" i="3"/>
  <c r="I529" i="3"/>
  <c r="E529" i="3"/>
  <c r="C529" i="3"/>
  <c r="Q528" i="3"/>
  <c r="M528" i="3"/>
  <c r="I528" i="3"/>
  <c r="E528" i="3"/>
  <c r="C528" i="3"/>
  <c r="Q527" i="3"/>
  <c r="M527" i="3"/>
  <c r="I527" i="3"/>
  <c r="E527" i="3"/>
  <c r="C527" i="3"/>
  <c r="Q526" i="3"/>
  <c r="M526" i="3"/>
  <c r="I526" i="3"/>
  <c r="E526" i="3"/>
  <c r="C526" i="3"/>
  <c r="Q525" i="3"/>
  <c r="M525" i="3"/>
  <c r="I525" i="3"/>
  <c r="E525" i="3"/>
  <c r="C525" i="3"/>
  <c r="Q524" i="3"/>
  <c r="M524" i="3"/>
  <c r="I524" i="3"/>
  <c r="E524" i="3"/>
  <c r="C524" i="3"/>
  <c r="Q523" i="3"/>
  <c r="M523" i="3"/>
  <c r="I523" i="3"/>
  <c r="E523" i="3"/>
  <c r="C523" i="3"/>
  <c r="Q522" i="3"/>
  <c r="M522" i="3"/>
  <c r="I522" i="3"/>
  <c r="E522" i="3"/>
  <c r="C522" i="3"/>
  <c r="Q521" i="3"/>
  <c r="M521" i="3"/>
  <c r="I521" i="3"/>
  <c r="E521" i="3"/>
  <c r="C521" i="3"/>
  <c r="Q520" i="3"/>
  <c r="M520" i="3"/>
  <c r="I520" i="3"/>
  <c r="E520" i="3"/>
  <c r="C520" i="3"/>
  <c r="Q519" i="3"/>
  <c r="M519" i="3"/>
  <c r="I519" i="3"/>
  <c r="E519" i="3"/>
  <c r="C519" i="3"/>
  <c r="Q518" i="3"/>
  <c r="M518" i="3"/>
  <c r="I518" i="3"/>
  <c r="E518" i="3"/>
  <c r="C518" i="3"/>
  <c r="Q517" i="3"/>
  <c r="M517" i="3"/>
  <c r="I517" i="3"/>
  <c r="E517" i="3"/>
  <c r="C517" i="3"/>
  <c r="Q516" i="3"/>
  <c r="M516" i="3"/>
  <c r="I516" i="3"/>
  <c r="E516" i="3"/>
  <c r="C516" i="3"/>
  <c r="Q515" i="3"/>
  <c r="M515" i="3"/>
  <c r="I515" i="3"/>
  <c r="E515" i="3"/>
  <c r="C515" i="3"/>
  <c r="Q514" i="3"/>
  <c r="M514" i="3"/>
  <c r="I514" i="3"/>
  <c r="E514" i="3"/>
  <c r="C514" i="3"/>
  <c r="Q513" i="3"/>
  <c r="M513" i="3"/>
  <c r="I513" i="3"/>
  <c r="E513" i="3"/>
  <c r="C513" i="3"/>
  <c r="Q512" i="3"/>
  <c r="M512" i="3"/>
  <c r="I512" i="3"/>
  <c r="E512" i="3"/>
  <c r="C512" i="3"/>
  <c r="Q511" i="3"/>
  <c r="M511" i="3"/>
  <c r="I511" i="3"/>
  <c r="E511" i="3"/>
  <c r="C511" i="3"/>
  <c r="Q510" i="3"/>
  <c r="M510" i="3"/>
  <c r="I510" i="3"/>
  <c r="E510" i="3"/>
  <c r="C510" i="3"/>
  <c r="Q509" i="3"/>
  <c r="M509" i="3"/>
  <c r="I509" i="3"/>
  <c r="E509" i="3"/>
  <c r="C509" i="3"/>
  <c r="Q508" i="3"/>
  <c r="M508" i="3"/>
  <c r="I508" i="3"/>
  <c r="E508" i="3"/>
  <c r="C508" i="3"/>
  <c r="Q507" i="3"/>
  <c r="M507" i="3"/>
  <c r="I507" i="3"/>
  <c r="E507" i="3"/>
  <c r="C507" i="3"/>
  <c r="Q506" i="3"/>
  <c r="M506" i="3"/>
  <c r="I506" i="3"/>
  <c r="E506" i="3"/>
  <c r="C506" i="3"/>
  <c r="Q505" i="3"/>
  <c r="M505" i="3"/>
  <c r="I505" i="3"/>
  <c r="E505" i="3"/>
  <c r="C505" i="3"/>
  <c r="Q504" i="3"/>
  <c r="M504" i="3"/>
  <c r="I504" i="3"/>
  <c r="E504" i="3"/>
  <c r="C504" i="3"/>
  <c r="Q503" i="3"/>
  <c r="M503" i="3"/>
  <c r="I503" i="3"/>
  <c r="E503" i="3"/>
  <c r="C503" i="3"/>
  <c r="Q502" i="3"/>
  <c r="M502" i="3"/>
  <c r="I502" i="3"/>
  <c r="E502" i="3"/>
  <c r="C502" i="3"/>
  <c r="Q501" i="3"/>
  <c r="M501" i="3"/>
  <c r="I501" i="3"/>
  <c r="E501" i="3"/>
  <c r="C501" i="3"/>
  <c r="Q500" i="3"/>
  <c r="M500" i="3"/>
  <c r="I500" i="3"/>
  <c r="E500" i="3"/>
  <c r="C500" i="3"/>
  <c r="Q499" i="3"/>
  <c r="M499" i="3"/>
  <c r="I499" i="3"/>
  <c r="E499" i="3"/>
  <c r="C499" i="3"/>
  <c r="Q498" i="3"/>
  <c r="M498" i="3"/>
  <c r="I498" i="3"/>
  <c r="E498" i="3"/>
  <c r="C498" i="3"/>
  <c r="Q497" i="3"/>
  <c r="M497" i="3"/>
  <c r="I497" i="3"/>
  <c r="E497" i="3"/>
  <c r="C497" i="3"/>
  <c r="Q496" i="3"/>
  <c r="M496" i="3"/>
  <c r="I496" i="3"/>
  <c r="E496" i="3"/>
  <c r="C496" i="3"/>
  <c r="Q495" i="3"/>
  <c r="M495" i="3"/>
  <c r="I495" i="3"/>
  <c r="E495" i="3"/>
  <c r="C495" i="3"/>
  <c r="Q494" i="3"/>
  <c r="M494" i="3"/>
  <c r="I494" i="3"/>
  <c r="E494" i="3"/>
  <c r="C494" i="3"/>
  <c r="Q493" i="3"/>
  <c r="M493" i="3"/>
  <c r="I493" i="3"/>
  <c r="E493" i="3"/>
  <c r="C493" i="3"/>
  <c r="Q492" i="3"/>
  <c r="M492" i="3"/>
  <c r="I492" i="3"/>
  <c r="E492" i="3"/>
  <c r="C492" i="3"/>
  <c r="Q491" i="3"/>
  <c r="M491" i="3"/>
  <c r="I491" i="3"/>
  <c r="E491" i="3"/>
  <c r="C491" i="3"/>
  <c r="Q490" i="3"/>
  <c r="M490" i="3"/>
  <c r="I490" i="3"/>
  <c r="E490" i="3"/>
  <c r="C490" i="3"/>
  <c r="Q489" i="3"/>
  <c r="M489" i="3"/>
  <c r="I489" i="3"/>
  <c r="E489" i="3"/>
  <c r="C489" i="3"/>
  <c r="Q488" i="3"/>
  <c r="M488" i="3"/>
  <c r="I488" i="3"/>
  <c r="E488" i="3"/>
  <c r="C488" i="3"/>
  <c r="Q487" i="3"/>
  <c r="M487" i="3"/>
  <c r="I487" i="3"/>
  <c r="E487" i="3"/>
  <c r="C487" i="3"/>
  <c r="Q486" i="3"/>
  <c r="M486" i="3"/>
  <c r="I486" i="3"/>
  <c r="E486" i="3"/>
  <c r="C486" i="3"/>
  <c r="Q485" i="3"/>
  <c r="M485" i="3"/>
  <c r="I485" i="3"/>
  <c r="E485" i="3"/>
  <c r="C485" i="3"/>
  <c r="Q484" i="3"/>
  <c r="M484" i="3"/>
  <c r="I484" i="3"/>
  <c r="E484" i="3"/>
  <c r="C484" i="3"/>
  <c r="Q483" i="3"/>
  <c r="M483" i="3"/>
  <c r="I483" i="3"/>
  <c r="E483" i="3"/>
  <c r="C483" i="3"/>
  <c r="Q482" i="3"/>
  <c r="M482" i="3"/>
  <c r="I482" i="3"/>
  <c r="E482" i="3"/>
  <c r="C482" i="3"/>
  <c r="Q481" i="3"/>
  <c r="M481" i="3"/>
  <c r="I481" i="3"/>
  <c r="E481" i="3"/>
  <c r="C481" i="3"/>
  <c r="Q480" i="3"/>
  <c r="M480" i="3"/>
  <c r="I480" i="3"/>
  <c r="E480" i="3"/>
  <c r="C480" i="3"/>
  <c r="Q479" i="3"/>
  <c r="M479" i="3"/>
  <c r="I479" i="3"/>
  <c r="E479" i="3"/>
  <c r="C479" i="3"/>
  <c r="Q478" i="3"/>
  <c r="M478" i="3"/>
  <c r="I478" i="3"/>
  <c r="E478" i="3"/>
  <c r="C478" i="3"/>
  <c r="Q477" i="3"/>
  <c r="M477" i="3"/>
  <c r="I477" i="3"/>
  <c r="E477" i="3"/>
  <c r="C477" i="3"/>
  <c r="Q476" i="3"/>
  <c r="M476" i="3"/>
  <c r="I476" i="3"/>
  <c r="E476" i="3"/>
  <c r="C476" i="3"/>
  <c r="Q475" i="3"/>
  <c r="M475" i="3"/>
  <c r="I475" i="3"/>
  <c r="E475" i="3"/>
  <c r="C475" i="3"/>
  <c r="Q474" i="3"/>
  <c r="M474" i="3"/>
  <c r="I474" i="3"/>
  <c r="E474" i="3"/>
  <c r="C474" i="3"/>
  <c r="Q473" i="3"/>
  <c r="M473" i="3"/>
  <c r="I473" i="3"/>
  <c r="E473" i="3"/>
  <c r="C473" i="3"/>
  <c r="Q472" i="3"/>
  <c r="M472" i="3"/>
  <c r="I472" i="3"/>
  <c r="E472" i="3"/>
  <c r="C472" i="3"/>
  <c r="Q471" i="3"/>
  <c r="M471" i="3"/>
  <c r="I471" i="3"/>
  <c r="E471" i="3"/>
  <c r="C471" i="3"/>
  <c r="Q470" i="3"/>
  <c r="M470" i="3"/>
  <c r="I470" i="3"/>
  <c r="E470" i="3"/>
  <c r="C470" i="3"/>
  <c r="Q469" i="3"/>
  <c r="M469" i="3"/>
  <c r="I469" i="3"/>
  <c r="E469" i="3"/>
  <c r="C469" i="3"/>
  <c r="Q468" i="3"/>
  <c r="M468" i="3"/>
  <c r="I468" i="3"/>
  <c r="E468" i="3"/>
  <c r="C468" i="3"/>
  <c r="Q467" i="3"/>
  <c r="M467" i="3"/>
  <c r="I467" i="3"/>
  <c r="E467" i="3"/>
  <c r="C467" i="3"/>
  <c r="Q466" i="3"/>
  <c r="M466" i="3"/>
  <c r="I466" i="3"/>
  <c r="E466" i="3"/>
  <c r="C466" i="3"/>
  <c r="Q465" i="3"/>
  <c r="M465" i="3"/>
  <c r="I465" i="3"/>
  <c r="E465" i="3"/>
  <c r="C465" i="3"/>
  <c r="Q464" i="3"/>
  <c r="M464" i="3"/>
  <c r="I464" i="3"/>
  <c r="E464" i="3"/>
  <c r="C464" i="3"/>
  <c r="Q463" i="3"/>
  <c r="M463" i="3"/>
  <c r="I463" i="3"/>
  <c r="E463" i="3"/>
  <c r="C463" i="3"/>
  <c r="Q462" i="3"/>
  <c r="M462" i="3"/>
  <c r="I462" i="3"/>
  <c r="E462" i="3"/>
  <c r="C462" i="3"/>
  <c r="Q461" i="3"/>
  <c r="M461" i="3"/>
  <c r="I461" i="3"/>
  <c r="E461" i="3"/>
  <c r="C461" i="3"/>
  <c r="Q460" i="3"/>
  <c r="M460" i="3"/>
  <c r="I460" i="3"/>
  <c r="E460" i="3"/>
  <c r="C460" i="3"/>
  <c r="Q459" i="3"/>
  <c r="M459" i="3"/>
  <c r="I459" i="3"/>
  <c r="E459" i="3"/>
  <c r="C459" i="3"/>
  <c r="Q458" i="3"/>
  <c r="M458" i="3"/>
  <c r="I458" i="3"/>
  <c r="E458" i="3"/>
  <c r="C458" i="3"/>
  <c r="Q457" i="3"/>
  <c r="M457" i="3"/>
  <c r="I457" i="3"/>
  <c r="E457" i="3"/>
  <c r="C457" i="3"/>
  <c r="Q456" i="3"/>
  <c r="M456" i="3"/>
  <c r="I456" i="3"/>
  <c r="E456" i="3"/>
  <c r="C456" i="3"/>
  <c r="Q455" i="3"/>
  <c r="M455" i="3"/>
  <c r="I455" i="3"/>
  <c r="E455" i="3"/>
  <c r="C455" i="3"/>
  <c r="Q454" i="3"/>
  <c r="M454" i="3"/>
  <c r="I454" i="3"/>
  <c r="E454" i="3"/>
  <c r="C454" i="3"/>
  <c r="Q453" i="3"/>
  <c r="M453" i="3"/>
  <c r="I453" i="3"/>
  <c r="E453" i="3"/>
  <c r="C453" i="3"/>
  <c r="Q452" i="3"/>
  <c r="M452" i="3"/>
  <c r="I452" i="3"/>
  <c r="E452" i="3"/>
  <c r="C452" i="3"/>
  <c r="Q451" i="3"/>
  <c r="M451" i="3"/>
  <c r="I451" i="3"/>
  <c r="E451" i="3"/>
  <c r="C451" i="3"/>
  <c r="Q450" i="3"/>
  <c r="M450" i="3"/>
  <c r="I450" i="3"/>
  <c r="E450" i="3"/>
  <c r="C450" i="3"/>
  <c r="Q449" i="3"/>
  <c r="M449" i="3"/>
  <c r="I449" i="3"/>
  <c r="E449" i="3"/>
  <c r="C449" i="3"/>
  <c r="Q448" i="3"/>
  <c r="M448" i="3"/>
  <c r="I448" i="3"/>
  <c r="E448" i="3"/>
  <c r="C448" i="3"/>
  <c r="Q447" i="3"/>
  <c r="M447" i="3"/>
  <c r="I447" i="3"/>
  <c r="E447" i="3"/>
  <c r="C447" i="3"/>
  <c r="Q446" i="3"/>
  <c r="M446" i="3"/>
  <c r="I446" i="3"/>
  <c r="E446" i="3"/>
  <c r="C446" i="3"/>
  <c r="Q445" i="3"/>
  <c r="M445" i="3"/>
  <c r="I445" i="3"/>
  <c r="E445" i="3"/>
  <c r="C445" i="3"/>
  <c r="Q444" i="3"/>
  <c r="M444" i="3"/>
  <c r="I444" i="3"/>
  <c r="E444" i="3"/>
  <c r="C444" i="3"/>
  <c r="Q443" i="3"/>
  <c r="M443" i="3"/>
  <c r="I443" i="3"/>
  <c r="E443" i="3"/>
  <c r="C443" i="3"/>
  <c r="Q442" i="3"/>
  <c r="M442" i="3"/>
  <c r="I442" i="3"/>
  <c r="E442" i="3"/>
  <c r="C442" i="3"/>
  <c r="Q441" i="3"/>
  <c r="M441" i="3"/>
  <c r="I441" i="3"/>
  <c r="E441" i="3"/>
  <c r="C441" i="3"/>
  <c r="Q440" i="3"/>
  <c r="M440" i="3"/>
  <c r="I440" i="3"/>
  <c r="E440" i="3"/>
  <c r="C440" i="3"/>
  <c r="Q439" i="3"/>
  <c r="M439" i="3"/>
  <c r="I439" i="3"/>
  <c r="E439" i="3"/>
  <c r="C439" i="3"/>
  <c r="Q438" i="3"/>
  <c r="M438" i="3"/>
  <c r="I438" i="3"/>
  <c r="E438" i="3"/>
  <c r="C438" i="3"/>
  <c r="Q437" i="3"/>
  <c r="M437" i="3"/>
  <c r="I437" i="3"/>
  <c r="E437" i="3"/>
  <c r="C437" i="3"/>
  <c r="Q436" i="3"/>
  <c r="M436" i="3"/>
  <c r="I436" i="3"/>
  <c r="E436" i="3"/>
  <c r="C436" i="3"/>
  <c r="Q435" i="3"/>
  <c r="M435" i="3"/>
  <c r="I435" i="3"/>
  <c r="E435" i="3"/>
  <c r="C435" i="3"/>
  <c r="Q434" i="3"/>
  <c r="M434" i="3"/>
  <c r="I434" i="3"/>
  <c r="E434" i="3"/>
  <c r="C434" i="3"/>
  <c r="Q433" i="3"/>
  <c r="M433" i="3"/>
  <c r="I433" i="3"/>
  <c r="E433" i="3"/>
  <c r="C433" i="3"/>
  <c r="Q432" i="3"/>
  <c r="M432" i="3"/>
  <c r="I432" i="3"/>
  <c r="E432" i="3"/>
  <c r="C432" i="3"/>
  <c r="Q431" i="3"/>
  <c r="M431" i="3"/>
  <c r="I431" i="3"/>
  <c r="E431" i="3"/>
  <c r="C431" i="3"/>
  <c r="Q430" i="3"/>
  <c r="M430" i="3"/>
  <c r="I430" i="3"/>
  <c r="E430" i="3"/>
  <c r="C430" i="3"/>
  <c r="Q429" i="3"/>
  <c r="M429" i="3"/>
  <c r="I429" i="3"/>
  <c r="E429" i="3"/>
  <c r="C429" i="3"/>
  <c r="Q428" i="3"/>
  <c r="M428" i="3"/>
  <c r="I428" i="3"/>
  <c r="E428" i="3"/>
  <c r="C428" i="3"/>
  <c r="Q427" i="3"/>
  <c r="M427" i="3"/>
  <c r="I427" i="3"/>
  <c r="E427" i="3"/>
  <c r="C427" i="3"/>
  <c r="Q426" i="3"/>
  <c r="M426" i="3"/>
  <c r="I426" i="3"/>
  <c r="E426" i="3"/>
  <c r="C426" i="3"/>
  <c r="Q425" i="3"/>
  <c r="M425" i="3"/>
  <c r="I425" i="3"/>
  <c r="E425" i="3"/>
  <c r="C425" i="3"/>
  <c r="Q424" i="3"/>
  <c r="M424" i="3"/>
  <c r="I424" i="3"/>
  <c r="E424" i="3"/>
  <c r="C424" i="3"/>
  <c r="Q423" i="3"/>
  <c r="M423" i="3"/>
  <c r="I423" i="3"/>
  <c r="E423" i="3"/>
  <c r="C423" i="3"/>
  <c r="Q422" i="3"/>
  <c r="M422" i="3"/>
  <c r="I422" i="3"/>
  <c r="E422" i="3"/>
  <c r="C422" i="3"/>
  <c r="Q421" i="3"/>
  <c r="M421" i="3"/>
  <c r="I421" i="3"/>
  <c r="E421" i="3"/>
  <c r="C421" i="3"/>
  <c r="Q420" i="3"/>
  <c r="M420" i="3"/>
  <c r="I420" i="3"/>
  <c r="E420" i="3"/>
  <c r="C420" i="3"/>
  <c r="Q419" i="3"/>
  <c r="M419" i="3"/>
  <c r="I419" i="3"/>
  <c r="E419" i="3"/>
  <c r="C419" i="3"/>
  <c r="Q418" i="3"/>
  <c r="M418" i="3"/>
  <c r="I418" i="3"/>
  <c r="E418" i="3"/>
  <c r="C418" i="3"/>
  <c r="Q417" i="3"/>
  <c r="M417" i="3"/>
  <c r="I417" i="3"/>
  <c r="E417" i="3"/>
  <c r="C417" i="3"/>
  <c r="Q416" i="3"/>
  <c r="M416" i="3"/>
  <c r="I416" i="3"/>
  <c r="E416" i="3"/>
  <c r="C416" i="3"/>
  <c r="Q415" i="3"/>
  <c r="M415" i="3"/>
  <c r="I415" i="3"/>
  <c r="E415" i="3"/>
  <c r="C415" i="3"/>
  <c r="Q414" i="3"/>
  <c r="M414" i="3"/>
  <c r="I414" i="3"/>
  <c r="E414" i="3"/>
  <c r="C414" i="3"/>
  <c r="Q413" i="3"/>
  <c r="M413" i="3"/>
  <c r="I413" i="3"/>
  <c r="E413" i="3"/>
  <c r="C413" i="3"/>
  <c r="Q412" i="3"/>
  <c r="M412" i="3"/>
  <c r="I412" i="3"/>
  <c r="E412" i="3"/>
  <c r="C412" i="3"/>
  <c r="Q411" i="3"/>
  <c r="M411" i="3"/>
  <c r="I411" i="3"/>
  <c r="E411" i="3"/>
  <c r="C411" i="3"/>
  <c r="Q410" i="3"/>
  <c r="M410" i="3"/>
  <c r="I410" i="3"/>
  <c r="E410" i="3"/>
  <c r="C410" i="3"/>
  <c r="Q409" i="3"/>
  <c r="M409" i="3"/>
  <c r="I409" i="3"/>
  <c r="E409" i="3"/>
  <c r="C409" i="3"/>
  <c r="Q408" i="3"/>
  <c r="M408" i="3"/>
  <c r="I408" i="3"/>
  <c r="E408" i="3"/>
  <c r="C408" i="3"/>
  <c r="Q407" i="3"/>
  <c r="M407" i="3"/>
  <c r="I407" i="3"/>
  <c r="E407" i="3"/>
  <c r="C407" i="3"/>
  <c r="Q406" i="3"/>
  <c r="M406" i="3"/>
  <c r="I406" i="3"/>
  <c r="E406" i="3"/>
  <c r="C406" i="3"/>
  <c r="Q405" i="3"/>
  <c r="M405" i="3"/>
  <c r="I405" i="3"/>
  <c r="E405" i="3"/>
  <c r="C405" i="3"/>
  <c r="Q404" i="3"/>
  <c r="M404" i="3"/>
  <c r="I404" i="3"/>
  <c r="E404" i="3"/>
  <c r="C404" i="3"/>
  <c r="Q403" i="3"/>
  <c r="M403" i="3"/>
  <c r="I403" i="3"/>
  <c r="E403" i="3"/>
  <c r="C403" i="3"/>
  <c r="Q402" i="3"/>
  <c r="M402" i="3"/>
  <c r="I402" i="3"/>
  <c r="E402" i="3"/>
  <c r="C402" i="3"/>
  <c r="Q401" i="3"/>
  <c r="M401" i="3"/>
  <c r="I401" i="3"/>
  <c r="E401" i="3"/>
  <c r="C401" i="3"/>
  <c r="Q400" i="3"/>
  <c r="M400" i="3"/>
  <c r="I400" i="3"/>
  <c r="E400" i="3"/>
  <c r="C400" i="3"/>
  <c r="Q399" i="3"/>
  <c r="M399" i="3"/>
  <c r="I399" i="3"/>
  <c r="E399" i="3"/>
  <c r="C399" i="3"/>
  <c r="Q398" i="3"/>
  <c r="M398" i="3"/>
  <c r="I398" i="3"/>
  <c r="E398" i="3"/>
  <c r="C398" i="3"/>
  <c r="Q397" i="3"/>
  <c r="M397" i="3"/>
  <c r="I397" i="3"/>
  <c r="E397" i="3"/>
  <c r="C397" i="3"/>
  <c r="Q396" i="3"/>
  <c r="M396" i="3"/>
  <c r="I396" i="3"/>
  <c r="E396" i="3"/>
  <c r="C396" i="3"/>
  <c r="Q395" i="3"/>
  <c r="M395" i="3"/>
  <c r="I395" i="3"/>
  <c r="E395" i="3"/>
  <c r="C395" i="3"/>
  <c r="Q394" i="3"/>
  <c r="M394" i="3"/>
  <c r="I394" i="3"/>
  <c r="E394" i="3"/>
  <c r="C394" i="3"/>
  <c r="Q393" i="3"/>
  <c r="M393" i="3"/>
  <c r="I393" i="3"/>
  <c r="E393" i="3"/>
  <c r="C393" i="3"/>
  <c r="Q392" i="3"/>
  <c r="M392" i="3"/>
  <c r="I392" i="3"/>
  <c r="E392" i="3"/>
  <c r="C392" i="3"/>
  <c r="Q391" i="3"/>
  <c r="M391" i="3"/>
  <c r="I391" i="3"/>
  <c r="E391" i="3"/>
  <c r="C391" i="3"/>
  <c r="Q390" i="3"/>
  <c r="M390" i="3"/>
  <c r="I390" i="3"/>
  <c r="E390" i="3"/>
  <c r="C390" i="3"/>
  <c r="Q389" i="3"/>
  <c r="M389" i="3"/>
  <c r="I389" i="3"/>
  <c r="E389" i="3"/>
  <c r="C389" i="3"/>
  <c r="Q388" i="3"/>
  <c r="M388" i="3"/>
  <c r="I388" i="3"/>
  <c r="E388" i="3"/>
  <c r="C388" i="3"/>
  <c r="Q387" i="3"/>
  <c r="M387" i="3"/>
  <c r="I387" i="3"/>
  <c r="E387" i="3"/>
  <c r="C387" i="3"/>
  <c r="Q386" i="3"/>
  <c r="M386" i="3"/>
  <c r="I386" i="3"/>
  <c r="E386" i="3"/>
  <c r="C386" i="3"/>
  <c r="Q385" i="3"/>
  <c r="M385" i="3"/>
  <c r="I385" i="3"/>
  <c r="E385" i="3"/>
  <c r="C385" i="3"/>
  <c r="Q384" i="3"/>
  <c r="M384" i="3"/>
  <c r="I384" i="3"/>
  <c r="E384" i="3"/>
  <c r="C384" i="3"/>
  <c r="Q383" i="3"/>
  <c r="M383" i="3"/>
  <c r="I383" i="3"/>
  <c r="E383" i="3"/>
  <c r="C383" i="3"/>
  <c r="Q382" i="3"/>
  <c r="M382" i="3"/>
  <c r="I382" i="3"/>
  <c r="E382" i="3"/>
  <c r="C382" i="3"/>
  <c r="Q381" i="3"/>
  <c r="M381" i="3"/>
  <c r="I381" i="3"/>
  <c r="E381" i="3"/>
  <c r="C381" i="3"/>
  <c r="Q380" i="3"/>
  <c r="M380" i="3"/>
  <c r="I380" i="3"/>
  <c r="E380" i="3"/>
  <c r="C380" i="3"/>
  <c r="Q379" i="3"/>
  <c r="M379" i="3"/>
  <c r="I379" i="3"/>
  <c r="E379" i="3"/>
  <c r="C379" i="3"/>
  <c r="Q378" i="3"/>
  <c r="M378" i="3"/>
  <c r="I378" i="3"/>
  <c r="E378" i="3"/>
  <c r="C378" i="3"/>
  <c r="Q377" i="3"/>
  <c r="M377" i="3"/>
  <c r="I377" i="3"/>
  <c r="E377" i="3"/>
  <c r="C377" i="3"/>
  <c r="Q376" i="3"/>
  <c r="M376" i="3"/>
  <c r="I376" i="3"/>
  <c r="E376" i="3"/>
  <c r="C376" i="3"/>
  <c r="Q375" i="3"/>
  <c r="M375" i="3"/>
  <c r="I375" i="3"/>
  <c r="E375" i="3"/>
  <c r="C375" i="3"/>
  <c r="Q374" i="3"/>
  <c r="M374" i="3"/>
  <c r="I374" i="3"/>
  <c r="E374" i="3"/>
  <c r="C374" i="3"/>
  <c r="Q373" i="3"/>
  <c r="M373" i="3"/>
  <c r="I373" i="3"/>
  <c r="E373" i="3"/>
  <c r="C373" i="3"/>
  <c r="Q372" i="3"/>
  <c r="M372" i="3"/>
  <c r="I372" i="3"/>
  <c r="E372" i="3"/>
  <c r="C372" i="3"/>
  <c r="Q371" i="3"/>
  <c r="M371" i="3"/>
  <c r="I371" i="3"/>
  <c r="E371" i="3"/>
  <c r="C371" i="3"/>
  <c r="Q370" i="3"/>
  <c r="M370" i="3"/>
  <c r="I370" i="3"/>
  <c r="E370" i="3"/>
  <c r="C370" i="3"/>
  <c r="Q369" i="3"/>
  <c r="M369" i="3"/>
  <c r="I369" i="3"/>
  <c r="E369" i="3"/>
  <c r="C369" i="3"/>
  <c r="Q368" i="3"/>
  <c r="M368" i="3"/>
  <c r="I368" i="3"/>
  <c r="E368" i="3"/>
  <c r="C368" i="3"/>
  <c r="Q367" i="3"/>
  <c r="M367" i="3"/>
  <c r="I367" i="3"/>
  <c r="E367" i="3"/>
  <c r="C367" i="3"/>
  <c r="Q366" i="3"/>
  <c r="M366" i="3"/>
  <c r="I366" i="3"/>
  <c r="E366" i="3"/>
  <c r="C366" i="3"/>
  <c r="Q365" i="3"/>
  <c r="M365" i="3"/>
  <c r="I365" i="3"/>
  <c r="E365" i="3"/>
  <c r="C365" i="3"/>
  <c r="Q364" i="3"/>
  <c r="M364" i="3"/>
  <c r="I364" i="3"/>
  <c r="E364" i="3"/>
  <c r="C364" i="3"/>
  <c r="Q363" i="3"/>
  <c r="M363" i="3"/>
  <c r="I363" i="3"/>
  <c r="E363" i="3"/>
  <c r="C363" i="3"/>
  <c r="Q362" i="3"/>
  <c r="M362" i="3"/>
  <c r="I362" i="3"/>
  <c r="E362" i="3"/>
  <c r="C362" i="3"/>
  <c r="Q361" i="3"/>
  <c r="M361" i="3"/>
  <c r="I361" i="3"/>
  <c r="E361" i="3"/>
  <c r="C361" i="3"/>
  <c r="Q360" i="3"/>
  <c r="M360" i="3"/>
  <c r="I360" i="3"/>
  <c r="E360" i="3"/>
  <c r="C360" i="3"/>
  <c r="Q359" i="3"/>
  <c r="M359" i="3"/>
  <c r="I359" i="3"/>
  <c r="E359" i="3"/>
  <c r="C359" i="3"/>
  <c r="Q358" i="3"/>
  <c r="M358" i="3"/>
  <c r="I358" i="3"/>
  <c r="E358" i="3"/>
  <c r="C358" i="3"/>
  <c r="Q357" i="3"/>
  <c r="M357" i="3"/>
  <c r="I357" i="3"/>
  <c r="E357" i="3"/>
  <c r="C357" i="3"/>
  <c r="Q356" i="3"/>
  <c r="M356" i="3"/>
  <c r="I356" i="3"/>
  <c r="E356" i="3"/>
  <c r="C356" i="3"/>
  <c r="Q355" i="3"/>
  <c r="M355" i="3"/>
  <c r="I355" i="3"/>
  <c r="E355" i="3"/>
  <c r="C355" i="3"/>
  <c r="Q354" i="3"/>
  <c r="M354" i="3"/>
  <c r="I354" i="3"/>
  <c r="E354" i="3"/>
  <c r="C354" i="3"/>
  <c r="Q353" i="3"/>
  <c r="M353" i="3"/>
  <c r="I353" i="3"/>
  <c r="E353" i="3"/>
  <c r="C353" i="3"/>
  <c r="Q352" i="3"/>
  <c r="M352" i="3"/>
  <c r="I352" i="3"/>
  <c r="E352" i="3"/>
  <c r="C352" i="3"/>
  <c r="Q351" i="3"/>
  <c r="M351" i="3"/>
  <c r="I351" i="3"/>
  <c r="E351" i="3"/>
  <c r="C351" i="3"/>
  <c r="Q350" i="3"/>
  <c r="M350" i="3"/>
  <c r="I350" i="3"/>
  <c r="E350" i="3"/>
  <c r="C350" i="3"/>
  <c r="Q349" i="3"/>
  <c r="M349" i="3"/>
  <c r="I349" i="3"/>
  <c r="E349" i="3"/>
  <c r="C349" i="3"/>
  <c r="Q348" i="3"/>
  <c r="M348" i="3"/>
  <c r="I348" i="3"/>
  <c r="E348" i="3"/>
  <c r="C348" i="3"/>
  <c r="Q347" i="3"/>
  <c r="M347" i="3"/>
  <c r="I347" i="3"/>
  <c r="E347" i="3"/>
  <c r="C347" i="3"/>
  <c r="Q346" i="3"/>
  <c r="M346" i="3"/>
  <c r="I346" i="3"/>
  <c r="E346" i="3"/>
  <c r="C346" i="3"/>
  <c r="Q345" i="3"/>
  <c r="M345" i="3"/>
  <c r="I345" i="3"/>
  <c r="E345" i="3"/>
  <c r="C345" i="3"/>
  <c r="Q344" i="3"/>
  <c r="M344" i="3"/>
  <c r="I344" i="3"/>
  <c r="E344" i="3"/>
  <c r="C344" i="3"/>
  <c r="Q343" i="3"/>
  <c r="M343" i="3"/>
  <c r="I343" i="3"/>
  <c r="E343" i="3"/>
  <c r="C343" i="3"/>
  <c r="Q342" i="3"/>
  <c r="M342" i="3"/>
  <c r="I342" i="3"/>
  <c r="E342" i="3"/>
  <c r="C342" i="3"/>
  <c r="Q341" i="3"/>
  <c r="M341" i="3"/>
  <c r="I341" i="3"/>
  <c r="E341" i="3"/>
  <c r="C341" i="3"/>
  <c r="Q340" i="3"/>
  <c r="M340" i="3"/>
  <c r="I340" i="3"/>
  <c r="E340" i="3"/>
  <c r="C340" i="3"/>
  <c r="Q339" i="3"/>
  <c r="M339" i="3"/>
  <c r="I339" i="3"/>
  <c r="E339" i="3"/>
  <c r="C339" i="3"/>
  <c r="Q338" i="3"/>
  <c r="M338" i="3"/>
  <c r="I338" i="3"/>
  <c r="E338" i="3"/>
  <c r="C338" i="3"/>
  <c r="Q337" i="3"/>
  <c r="M337" i="3"/>
  <c r="I337" i="3"/>
  <c r="E337" i="3"/>
  <c r="C337" i="3"/>
  <c r="Q336" i="3"/>
  <c r="M336" i="3"/>
  <c r="I336" i="3"/>
  <c r="E336" i="3"/>
  <c r="C336" i="3"/>
  <c r="Q335" i="3"/>
  <c r="M335" i="3"/>
  <c r="I335" i="3"/>
  <c r="E335" i="3"/>
  <c r="C335" i="3"/>
  <c r="Q334" i="3"/>
  <c r="M334" i="3"/>
  <c r="I334" i="3"/>
  <c r="E334" i="3"/>
  <c r="C334" i="3"/>
  <c r="Q333" i="3"/>
  <c r="M333" i="3"/>
  <c r="I333" i="3"/>
  <c r="E333" i="3"/>
  <c r="C333" i="3"/>
  <c r="Q332" i="3"/>
  <c r="M332" i="3"/>
  <c r="I332" i="3"/>
  <c r="E332" i="3"/>
  <c r="C332" i="3"/>
  <c r="Q331" i="3"/>
  <c r="M331" i="3"/>
  <c r="I331" i="3"/>
  <c r="E331" i="3"/>
  <c r="C331" i="3"/>
  <c r="Q330" i="3"/>
  <c r="M330" i="3"/>
  <c r="I330" i="3"/>
  <c r="E330" i="3"/>
  <c r="C330" i="3"/>
  <c r="Q329" i="3"/>
  <c r="M329" i="3"/>
  <c r="I329" i="3"/>
  <c r="E329" i="3"/>
  <c r="C329" i="3"/>
  <c r="Q328" i="3"/>
  <c r="M328" i="3"/>
  <c r="I328" i="3"/>
  <c r="E328" i="3"/>
  <c r="C328" i="3"/>
  <c r="Q327" i="3"/>
  <c r="M327" i="3"/>
  <c r="I327" i="3"/>
  <c r="E327" i="3"/>
  <c r="C327" i="3"/>
  <c r="Q326" i="3"/>
  <c r="M326" i="3"/>
  <c r="I326" i="3"/>
  <c r="E326" i="3"/>
  <c r="C326" i="3"/>
  <c r="Q325" i="3"/>
  <c r="M325" i="3"/>
  <c r="I325" i="3"/>
  <c r="E325" i="3"/>
  <c r="C325" i="3"/>
  <c r="Q324" i="3"/>
  <c r="M324" i="3"/>
  <c r="I324" i="3"/>
  <c r="E324" i="3"/>
  <c r="C324" i="3"/>
  <c r="Q323" i="3"/>
  <c r="M323" i="3"/>
  <c r="I323" i="3"/>
  <c r="E323" i="3"/>
  <c r="C323" i="3"/>
  <c r="Q322" i="3"/>
  <c r="M322" i="3"/>
  <c r="I322" i="3"/>
  <c r="E322" i="3"/>
  <c r="C322" i="3"/>
  <c r="Q321" i="3"/>
  <c r="M321" i="3"/>
  <c r="I321" i="3"/>
  <c r="E321" i="3"/>
  <c r="C321" i="3"/>
  <c r="Q320" i="3"/>
  <c r="M320" i="3"/>
  <c r="I320" i="3"/>
  <c r="E320" i="3"/>
  <c r="C320" i="3"/>
  <c r="Q319" i="3"/>
  <c r="M319" i="3"/>
  <c r="I319" i="3"/>
  <c r="E319" i="3"/>
  <c r="C319" i="3"/>
  <c r="Q318" i="3"/>
  <c r="M318" i="3"/>
  <c r="I318" i="3"/>
  <c r="E318" i="3"/>
  <c r="C318" i="3"/>
  <c r="Q317" i="3"/>
  <c r="M317" i="3"/>
  <c r="I317" i="3"/>
  <c r="E317" i="3"/>
  <c r="C317" i="3"/>
  <c r="Q316" i="3"/>
  <c r="M316" i="3"/>
  <c r="I316" i="3"/>
  <c r="E316" i="3"/>
  <c r="C316" i="3"/>
  <c r="Q315" i="3"/>
  <c r="M315" i="3"/>
  <c r="I315" i="3"/>
  <c r="E315" i="3"/>
  <c r="C315" i="3"/>
  <c r="Q314" i="3"/>
  <c r="M314" i="3"/>
  <c r="I314" i="3"/>
  <c r="E314" i="3"/>
  <c r="C314" i="3"/>
  <c r="Q313" i="3"/>
  <c r="M313" i="3"/>
  <c r="I313" i="3"/>
  <c r="E313" i="3"/>
  <c r="C313" i="3"/>
  <c r="Q312" i="3"/>
  <c r="M312" i="3"/>
  <c r="I312" i="3"/>
  <c r="E312" i="3"/>
  <c r="C312" i="3"/>
  <c r="Q311" i="3"/>
  <c r="M311" i="3"/>
  <c r="I311" i="3"/>
  <c r="E311" i="3"/>
  <c r="C311" i="3"/>
  <c r="Q310" i="3"/>
  <c r="M310" i="3"/>
  <c r="I310" i="3"/>
  <c r="E310" i="3"/>
  <c r="C310" i="3"/>
  <c r="Q309" i="3"/>
  <c r="M309" i="3"/>
  <c r="I309" i="3"/>
  <c r="E309" i="3"/>
  <c r="C309" i="3"/>
  <c r="Q308" i="3"/>
  <c r="M308" i="3"/>
  <c r="I308" i="3"/>
  <c r="E308" i="3"/>
  <c r="C308" i="3"/>
  <c r="Q307" i="3"/>
  <c r="M307" i="3"/>
  <c r="I307" i="3"/>
  <c r="E307" i="3"/>
  <c r="C307" i="3"/>
  <c r="Q306" i="3"/>
  <c r="M306" i="3"/>
  <c r="I306" i="3"/>
  <c r="E306" i="3"/>
  <c r="C306" i="3"/>
  <c r="Q305" i="3"/>
  <c r="M305" i="3"/>
  <c r="I305" i="3"/>
  <c r="E305" i="3"/>
  <c r="C305" i="3"/>
  <c r="Q304" i="3"/>
  <c r="M304" i="3"/>
  <c r="I304" i="3"/>
  <c r="E304" i="3"/>
  <c r="C304" i="3"/>
  <c r="Q303" i="3"/>
  <c r="M303" i="3"/>
  <c r="I303" i="3"/>
  <c r="E303" i="3"/>
  <c r="C303" i="3"/>
  <c r="Q302" i="3"/>
  <c r="M302" i="3"/>
  <c r="I302" i="3"/>
  <c r="E302" i="3"/>
  <c r="C302" i="3"/>
  <c r="Q301" i="3"/>
  <c r="M301" i="3"/>
  <c r="I301" i="3"/>
  <c r="E301" i="3"/>
  <c r="C301" i="3"/>
  <c r="Q300" i="3"/>
  <c r="M300" i="3"/>
  <c r="I300" i="3"/>
  <c r="E300" i="3"/>
  <c r="C300" i="3"/>
  <c r="Q299" i="3"/>
  <c r="M299" i="3"/>
  <c r="I299" i="3"/>
  <c r="E299" i="3"/>
  <c r="C299" i="3"/>
  <c r="Q298" i="3"/>
  <c r="M298" i="3"/>
  <c r="I298" i="3"/>
  <c r="E298" i="3"/>
  <c r="C298" i="3"/>
  <c r="Q297" i="3"/>
  <c r="M297" i="3"/>
  <c r="I297" i="3"/>
  <c r="E297" i="3"/>
  <c r="C297" i="3"/>
  <c r="Q296" i="3"/>
  <c r="M296" i="3"/>
  <c r="I296" i="3"/>
  <c r="E296" i="3"/>
  <c r="C296" i="3"/>
  <c r="Q295" i="3"/>
  <c r="M295" i="3"/>
  <c r="I295" i="3"/>
  <c r="E295" i="3"/>
  <c r="C295" i="3"/>
  <c r="Q294" i="3"/>
  <c r="M294" i="3"/>
  <c r="I294" i="3"/>
  <c r="E294" i="3"/>
  <c r="C294" i="3"/>
  <c r="Q293" i="3"/>
  <c r="M293" i="3"/>
  <c r="I293" i="3"/>
  <c r="E293" i="3"/>
  <c r="C293" i="3"/>
  <c r="Q292" i="3"/>
  <c r="M292" i="3"/>
  <c r="I292" i="3"/>
  <c r="E292" i="3"/>
  <c r="C292" i="3"/>
  <c r="Q291" i="3"/>
  <c r="M291" i="3"/>
  <c r="I291" i="3"/>
  <c r="E291" i="3"/>
  <c r="C291" i="3"/>
  <c r="Q290" i="3"/>
  <c r="M290" i="3"/>
  <c r="I290" i="3"/>
  <c r="E290" i="3"/>
  <c r="C290" i="3"/>
  <c r="Q289" i="3"/>
  <c r="M289" i="3"/>
  <c r="I289" i="3"/>
  <c r="E289" i="3"/>
  <c r="C289" i="3"/>
  <c r="Q288" i="3"/>
  <c r="M288" i="3"/>
  <c r="I288" i="3"/>
  <c r="E288" i="3"/>
  <c r="C288" i="3"/>
  <c r="Q287" i="3"/>
  <c r="M287" i="3"/>
  <c r="I287" i="3"/>
  <c r="E287" i="3"/>
  <c r="C287" i="3"/>
  <c r="Q286" i="3"/>
  <c r="M286" i="3"/>
  <c r="I286" i="3"/>
  <c r="E286" i="3"/>
  <c r="C286" i="3"/>
  <c r="Q285" i="3"/>
  <c r="M285" i="3"/>
  <c r="I285" i="3"/>
  <c r="E285" i="3"/>
  <c r="C285" i="3"/>
  <c r="Q284" i="3"/>
  <c r="M284" i="3"/>
  <c r="I284" i="3"/>
  <c r="E284" i="3"/>
  <c r="C284" i="3"/>
  <c r="Q283" i="3"/>
  <c r="M283" i="3"/>
  <c r="I283" i="3"/>
  <c r="E283" i="3"/>
  <c r="C283" i="3"/>
  <c r="Q282" i="3"/>
  <c r="M282" i="3"/>
  <c r="I282" i="3"/>
  <c r="E282" i="3"/>
  <c r="C282" i="3"/>
  <c r="Q281" i="3"/>
  <c r="M281" i="3"/>
  <c r="I281" i="3"/>
  <c r="E281" i="3"/>
  <c r="C281" i="3"/>
  <c r="Q280" i="3"/>
  <c r="M280" i="3"/>
  <c r="I280" i="3"/>
  <c r="E280" i="3"/>
  <c r="C280" i="3"/>
  <c r="Q279" i="3"/>
  <c r="M279" i="3"/>
  <c r="I279" i="3"/>
  <c r="E279" i="3"/>
  <c r="C279" i="3"/>
  <c r="Q278" i="3"/>
  <c r="M278" i="3"/>
  <c r="I278" i="3"/>
  <c r="E278" i="3"/>
  <c r="C278" i="3"/>
  <c r="Q277" i="3"/>
  <c r="M277" i="3"/>
  <c r="I277" i="3"/>
  <c r="E277" i="3"/>
  <c r="C277" i="3"/>
  <c r="Q276" i="3"/>
  <c r="M276" i="3"/>
  <c r="I276" i="3"/>
  <c r="E276" i="3"/>
  <c r="C276" i="3"/>
  <c r="Q275" i="3"/>
  <c r="M275" i="3"/>
  <c r="I275" i="3"/>
  <c r="E275" i="3"/>
  <c r="C275" i="3"/>
  <c r="Q274" i="3"/>
  <c r="M274" i="3"/>
  <c r="I274" i="3"/>
  <c r="E274" i="3"/>
  <c r="C274" i="3"/>
  <c r="Q273" i="3"/>
  <c r="M273" i="3"/>
  <c r="I273" i="3"/>
  <c r="E273" i="3"/>
  <c r="C273" i="3"/>
  <c r="Q272" i="3"/>
  <c r="M272" i="3"/>
  <c r="I272" i="3"/>
  <c r="E272" i="3"/>
  <c r="C272" i="3"/>
  <c r="Q271" i="3"/>
  <c r="M271" i="3"/>
  <c r="I271" i="3"/>
  <c r="E271" i="3"/>
  <c r="C271" i="3"/>
  <c r="Q270" i="3"/>
  <c r="M270" i="3"/>
  <c r="I270" i="3"/>
  <c r="E270" i="3"/>
  <c r="C270" i="3"/>
  <c r="Q269" i="3"/>
  <c r="M269" i="3"/>
  <c r="I269" i="3"/>
  <c r="E269" i="3"/>
  <c r="C269" i="3"/>
  <c r="Q268" i="3"/>
  <c r="M268" i="3"/>
  <c r="I268" i="3"/>
  <c r="E268" i="3"/>
  <c r="C268" i="3"/>
  <c r="Q267" i="3"/>
  <c r="M267" i="3"/>
  <c r="I267" i="3"/>
  <c r="E267" i="3"/>
  <c r="C267" i="3"/>
  <c r="Q266" i="3"/>
  <c r="M266" i="3"/>
  <c r="I266" i="3"/>
  <c r="E266" i="3"/>
  <c r="C266" i="3"/>
  <c r="Q265" i="3"/>
  <c r="M265" i="3"/>
  <c r="I265" i="3"/>
  <c r="E265" i="3"/>
  <c r="C265" i="3"/>
  <c r="Q264" i="3"/>
  <c r="M264" i="3"/>
  <c r="I264" i="3"/>
  <c r="E264" i="3"/>
  <c r="C264" i="3"/>
  <c r="Q263" i="3"/>
  <c r="M263" i="3"/>
  <c r="I263" i="3"/>
  <c r="E263" i="3"/>
  <c r="C263" i="3"/>
  <c r="Q262" i="3"/>
  <c r="M262" i="3"/>
  <c r="I262" i="3"/>
  <c r="E262" i="3"/>
  <c r="C262" i="3"/>
  <c r="Q261" i="3"/>
  <c r="M261" i="3"/>
  <c r="I261" i="3"/>
  <c r="E261" i="3"/>
  <c r="C261" i="3"/>
  <c r="Q260" i="3"/>
  <c r="M260" i="3"/>
  <c r="I260" i="3"/>
  <c r="E260" i="3"/>
  <c r="C260" i="3"/>
  <c r="Q259" i="3"/>
  <c r="M259" i="3"/>
  <c r="I259" i="3"/>
  <c r="E259" i="3"/>
  <c r="C259" i="3"/>
  <c r="Q258" i="3"/>
  <c r="M258" i="3"/>
  <c r="I258" i="3"/>
  <c r="E258" i="3"/>
  <c r="C258" i="3"/>
  <c r="Q257" i="3"/>
  <c r="M257" i="3"/>
  <c r="I257" i="3"/>
  <c r="E257" i="3"/>
  <c r="C257" i="3"/>
  <c r="Q256" i="3"/>
  <c r="M256" i="3"/>
  <c r="I256" i="3"/>
  <c r="E256" i="3"/>
  <c r="C256" i="3"/>
  <c r="Q255" i="3"/>
  <c r="M255" i="3"/>
  <c r="I255" i="3"/>
  <c r="E255" i="3"/>
  <c r="C255" i="3"/>
  <c r="Q254" i="3"/>
  <c r="M254" i="3"/>
  <c r="I254" i="3"/>
  <c r="E254" i="3"/>
  <c r="C254" i="3"/>
  <c r="Q253" i="3"/>
  <c r="M253" i="3"/>
  <c r="I253" i="3"/>
  <c r="E253" i="3"/>
  <c r="C253" i="3"/>
  <c r="Q252" i="3"/>
  <c r="M252" i="3"/>
  <c r="I252" i="3"/>
  <c r="E252" i="3"/>
  <c r="C252" i="3"/>
  <c r="Q251" i="3"/>
  <c r="M251" i="3"/>
  <c r="I251" i="3"/>
  <c r="E251" i="3"/>
  <c r="C251" i="3"/>
  <c r="Q250" i="3"/>
  <c r="M250" i="3"/>
  <c r="I250" i="3"/>
  <c r="E250" i="3"/>
  <c r="C250" i="3"/>
  <c r="Q249" i="3"/>
  <c r="M249" i="3"/>
  <c r="I249" i="3"/>
  <c r="E249" i="3"/>
  <c r="C249" i="3"/>
  <c r="Q248" i="3"/>
  <c r="M248" i="3"/>
  <c r="I248" i="3"/>
  <c r="E248" i="3"/>
  <c r="C248" i="3"/>
  <c r="Q247" i="3"/>
  <c r="M247" i="3"/>
  <c r="I247" i="3"/>
  <c r="E247" i="3"/>
  <c r="C247" i="3"/>
  <c r="Q246" i="3"/>
  <c r="M246" i="3"/>
  <c r="I246" i="3"/>
  <c r="E246" i="3"/>
  <c r="C246" i="3"/>
  <c r="Q245" i="3"/>
  <c r="M245" i="3"/>
  <c r="I245" i="3"/>
  <c r="E245" i="3"/>
  <c r="C245" i="3"/>
  <c r="Q244" i="3"/>
  <c r="M244" i="3"/>
  <c r="I244" i="3"/>
  <c r="E244" i="3"/>
  <c r="C244" i="3"/>
  <c r="Q243" i="3"/>
  <c r="M243" i="3"/>
  <c r="I243" i="3"/>
  <c r="E243" i="3"/>
  <c r="C243" i="3"/>
  <c r="Q242" i="3"/>
  <c r="M242" i="3"/>
  <c r="I242" i="3"/>
  <c r="E242" i="3"/>
  <c r="C242" i="3"/>
  <c r="Q241" i="3"/>
  <c r="M241" i="3"/>
  <c r="I241" i="3"/>
  <c r="E241" i="3"/>
  <c r="C241" i="3"/>
  <c r="Q240" i="3"/>
  <c r="M240" i="3"/>
  <c r="I240" i="3"/>
  <c r="E240" i="3"/>
  <c r="C240" i="3"/>
  <c r="Q239" i="3"/>
  <c r="M239" i="3"/>
  <c r="I239" i="3"/>
  <c r="E239" i="3"/>
  <c r="C239" i="3"/>
  <c r="Q238" i="3"/>
  <c r="M238" i="3"/>
  <c r="I238" i="3"/>
  <c r="E238" i="3"/>
  <c r="C238" i="3"/>
  <c r="Q237" i="3"/>
  <c r="M237" i="3"/>
  <c r="I237" i="3"/>
  <c r="E237" i="3"/>
  <c r="C237" i="3"/>
  <c r="Q236" i="3"/>
  <c r="M236" i="3"/>
  <c r="I236" i="3"/>
  <c r="E236" i="3"/>
  <c r="C236" i="3"/>
  <c r="Q235" i="3"/>
  <c r="M235" i="3"/>
  <c r="I235" i="3"/>
  <c r="E235" i="3"/>
  <c r="C235" i="3"/>
  <c r="Q234" i="3"/>
  <c r="M234" i="3"/>
  <c r="I234" i="3"/>
  <c r="E234" i="3"/>
  <c r="C234" i="3"/>
  <c r="Q233" i="3"/>
  <c r="M233" i="3"/>
  <c r="I233" i="3"/>
  <c r="E233" i="3"/>
  <c r="C233" i="3"/>
  <c r="Q232" i="3"/>
  <c r="M232" i="3"/>
  <c r="I232" i="3"/>
  <c r="E232" i="3"/>
  <c r="C232" i="3"/>
  <c r="Q231" i="3"/>
  <c r="M231" i="3"/>
  <c r="I231" i="3"/>
  <c r="E231" i="3"/>
  <c r="C231" i="3"/>
  <c r="Q230" i="3"/>
  <c r="M230" i="3"/>
  <c r="I230" i="3"/>
  <c r="E230" i="3"/>
  <c r="C230" i="3"/>
  <c r="Q229" i="3"/>
  <c r="M229" i="3"/>
  <c r="I229" i="3"/>
  <c r="E229" i="3"/>
  <c r="C229" i="3"/>
  <c r="Q228" i="3"/>
  <c r="M228" i="3"/>
  <c r="I228" i="3"/>
  <c r="E228" i="3"/>
  <c r="C228" i="3"/>
  <c r="Q227" i="3"/>
  <c r="M227" i="3"/>
  <c r="I227" i="3"/>
  <c r="E227" i="3"/>
  <c r="C227" i="3"/>
  <c r="Q226" i="3"/>
  <c r="M226" i="3"/>
  <c r="I226" i="3"/>
  <c r="E226" i="3"/>
  <c r="C226" i="3"/>
  <c r="Q225" i="3"/>
  <c r="M225" i="3"/>
  <c r="I225" i="3"/>
  <c r="E225" i="3"/>
  <c r="C225" i="3"/>
  <c r="Q224" i="3"/>
  <c r="M224" i="3"/>
  <c r="I224" i="3"/>
  <c r="E224" i="3"/>
  <c r="C224" i="3"/>
  <c r="Q223" i="3"/>
  <c r="M223" i="3"/>
  <c r="I223" i="3"/>
  <c r="E223" i="3"/>
  <c r="C223" i="3"/>
  <c r="Q222" i="3"/>
  <c r="M222" i="3"/>
  <c r="I222" i="3"/>
  <c r="E222" i="3"/>
  <c r="C222" i="3"/>
  <c r="Q221" i="3"/>
  <c r="M221" i="3"/>
  <c r="I221" i="3"/>
  <c r="E221" i="3"/>
  <c r="C221" i="3"/>
  <c r="Q220" i="3"/>
  <c r="M220" i="3"/>
  <c r="I220" i="3"/>
  <c r="E220" i="3"/>
  <c r="C220" i="3"/>
  <c r="Q219" i="3"/>
  <c r="M219" i="3"/>
  <c r="I219" i="3"/>
  <c r="E219" i="3"/>
  <c r="C219" i="3"/>
  <c r="Q218" i="3"/>
  <c r="M218" i="3"/>
  <c r="I218" i="3"/>
  <c r="E218" i="3"/>
  <c r="C218" i="3"/>
  <c r="Q217" i="3"/>
  <c r="M217" i="3"/>
  <c r="I217" i="3"/>
  <c r="E217" i="3"/>
  <c r="C217" i="3"/>
  <c r="Q216" i="3"/>
  <c r="M216" i="3"/>
  <c r="I216" i="3"/>
  <c r="E216" i="3"/>
  <c r="C216" i="3"/>
  <c r="Q215" i="3"/>
  <c r="M215" i="3"/>
  <c r="I215" i="3"/>
  <c r="E215" i="3"/>
  <c r="C215" i="3"/>
  <c r="Q214" i="3"/>
  <c r="M214" i="3"/>
  <c r="I214" i="3"/>
  <c r="E214" i="3"/>
  <c r="C214" i="3"/>
  <c r="Q213" i="3"/>
  <c r="M213" i="3"/>
  <c r="I213" i="3"/>
  <c r="E213" i="3"/>
  <c r="C213" i="3"/>
  <c r="Q212" i="3"/>
  <c r="M212" i="3"/>
  <c r="I212" i="3"/>
  <c r="E212" i="3"/>
  <c r="C212" i="3"/>
  <c r="Q211" i="3"/>
  <c r="M211" i="3"/>
  <c r="I211" i="3"/>
  <c r="E211" i="3"/>
  <c r="C211" i="3"/>
  <c r="Q210" i="3"/>
  <c r="M210" i="3"/>
  <c r="I210" i="3"/>
  <c r="E210" i="3"/>
  <c r="C210" i="3"/>
  <c r="Q209" i="3"/>
  <c r="M209" i="3"/>
  <c r="I209" i="3"/>
  <c r="E209" i="3"/>
  <c r="C209" i="3"/>
  <c r="Q208" i="3"/>
  <c r="M208" i="3"/>
  <c r="I208" i="3"/>
  <c r="E208" i="3"/>
  <c r="C208" i="3"/>
  <c r="Q207" i="3"/>
  <c r="M207" i="3"/>
  <c r="I207" i="3"/>
  <c r="E207" i="3"/>
  <c r="C207" i="3"/>
  <c r="Q206" i="3"/>
  <c r="M206" i="3"/>
  <c r="I206" i="3"/>
  <c r="E206" i="3"/>
  <c r="C206" i="3"/>
  <c r="Q205" i="3"/>
  <c r="M205" i="3"/>
  <c r="I205" i="3"/>
  <c r="E205" i="3"/>
  <c r="C205" i="3"/>
  <c r="Q204" i="3"/>
  <c r="M204" i="3"/>
  <c r="I204" i="3"/>
  <c r="E204" i="3"/>
  <c r="C204" i="3"/>
  <c r="Q203" i="3"/>
  <c r="M203" i="3"/>
  <c r="I203" i="3"/>
  <c r="E203" i="3"/>
  <c r="C203" i="3"/>
  <c r="Q202" i="3"/>
  <c r="M202" i="3"/>
  <c r="I202" i="3"/>
  <c r="E202" i="3"/>
  <c r="C202" i="3"/>
  <c r="Q201" i="3"/>
  <c r="M201" i="3"/>
  <c r="I201" i="3"/>
  <c r="E201" i="3"/>
  <c r="C201" i="3"/>
  <c r="Q200" i="3"/>
  <c r="M200" i="3"/>
  <c r="I200" i="3"/>
  <c r="E200" i="3"/>
  <c r="C200" i="3"/>
  <c r="Q199" i="3"/>
  <c r="M199" i="3"/>
  <c r="I199" i="3"/>
  <c r="E199" i="3"/>
  <c r="C199" i="3"/>
  <c r="Q198" i="3"/>
  <c r="M198" i="3"/>
  <c r="I198" i="3"/>
  <c r="E198" i="3"/>
  <c r="C198" i="3"/>
  <c r="Q197" i="3"/>
  <c r="M197" i="3"/>
  <c r="I197" i="3"/>
  <c r="E197" i="3"/>
  <c r="C197" i="3"/>
  <c r="Q196" i="3"/>
  <c r="M196" i="3"/>
  <c r="I196" i="3"/>
  <c r="E196" i="3"/>
  <c r="C196" i="3"/>
  <c r="Q195" i="3"/>
  <c r="M195" i="3"/>
  <c r="I195" i="3"/>
  <c r="E195" i="3"/>
  <c r="C195" i="3"/>
  <c r="Q194" i="3"/>
  <c r="M194" i="3"/>
  <c r="I194" i="3"/>
  <c r="E194" i="3"/>
  <c r="C194" i="3"/>
  <c r="Q193" i="3"/>
  <c r="M193" i="3"/>
  <c r="I193" i="3"/>
  <c r="E193" i="3"/>
  <c r="C193" i="3"/>
  <c r="Q192" i="3"/>
  <c r="M192" i="3"/>
  <c r="I192" i="3"/>
  <c r="E192" i="3"/>
  <c r="C192" i="3"/>
  <c r="Q191" i="3"/>
  <c r="M191" i="3"/>
  <c r="I191" i="3"/>
  <c r="E191" i="3"/>
  <c r="C191" i="3"/>
  <c r="Q190" i="3"/>
  <c r="M190" i="3"/>
  <c r="I190" i="3"/>
  <c r="E190" i="3"/>
  <c r="C190" i="3"/>
  <c r="Q189" i="3"/>
  <c r="M189" i="3"/>
  <c r="I189" i="3"/>
  <c r="E189" i="3"/>
  <c r="C189" i="3"/>
  <c r="Q188" i="3"/>
  <c r="M188" i="3"/>
  <c r="I188" i="3"/>
  <c r="E188" i="3"/>
  <c r="C188" i="3"/>
  <c r="Q187" i="3"/>
  <c r="M187" i="3"/>
  <c r="I187" i="3"/>
  <c r="E187" i="3"/>
  <c r="C187" i="3"/>
  <c r="Q186" i="3"/>
  <c r="M186" i="3"/>
  <c r="I186" i="3"/>
  <c r="E186" i="3"/>
  <c r="C186" i="3"/>
  <c r="Q185" i="3"/>
  <c r="M185" i="3"/>
  <c r="I185" i="3"/>
  <c r="E185" i="3"/>
  <c r="C185" i="3"/>
  <c r="Q184" i="3"/>
  <c r="M184" i="3"/>
  <c r="I184" i="3"/>
  <c r="E184" i="3"/>
  <c r="C184" i="3"/>
  <c r="Q183" i="3"/>
  <c r="M183" i="3"/>
  <c r="I183" i="3"/>
  <c r="E183" i="3"/>
  <c r="C183" i="3"/>
  <c r="Q182" i="3"/>
  <c r="M182" i="3"/>
  <c r="I182" i="3"/>
  <c r="E182" i="3"/>
  <c r="C182" i="3"/>
  <c r="Q181" i="3"/>
  <c r="M181" i="3"/>
  <c r="I181" i="3"/>
  <c r="E181" i="3"/>
  <c r="C181" i="3"/>
  <c r="Q180" i="3"/>
  <c r="M180" i="3"/>
  <c r="I180" i="3"/>
  <c r="E180" i="3"/>
  <c r="C180" i="3"/>
  <c r="Q179" i="3"/>
  <c r="M179" i="3"/>
  <c r="I179" i="3"/>
  <c r="E179" i="3"/>
  <c r="C179" i="3"/>
  <c r="Q178" i="3"/>
  <c r="M178" i="3"/>
  <c r="I178" i="3"/>
  <c r="E178" i="3"/>
  <c r="C178" i="3"/>
  <c r="Q177" i="3"/>
  <c r="M177" i="3"/>
  <c r="I177" i="3"/>
  <c r="E177" i="3"/>
  <c r="C177" i="3"/>
  <c r="Q176" i="3"/>
  <c r="M176" i="3"/>
  <c r="I176" i="3"/>
  <c r="E176" i="3"/>
  <c r="C176" i="3"/>
  <c r="Q175" i="3"/>
  <c r="M175" i="3"/>
  <c r="I175" i="3"/>
  <c r="E175" i="3"/>
  <c r="C175" i="3"/>
  <c r="Q174" i="3"/>
  <c r="M174" i="3"/>
  <c r="I174" i="3"/>
  <c r="E174" i="3"/>
  <c r="C174" i="3"/>
  <c r="Q173" i="3"/>
  <c r="M173" i="3"/>
  <c r="I173" i="3"/>
  <c r="E173" i="3"/>
  <c r="C173" i="3"/>
  <c r="Q172" i="3"/>
  <c r="M172" i="3"/>
  <c r="I172" i="3"/>
  <c r="E172" i="3"/>
  <c r="C172" i="3"/>
  <c r="Q171" i="3"/>
  <c r="M171" i="3"/>
  <c r="I171" i="3"/>
  <c r="E171" i="3"/>
  <c r="C171" i="3"/>
  <c r="Q170" i="3"/>
  <c r="M170" i="3"/>
  <c r="I170" i="3"/>
  <c r="E170" i="3"/>
  <c r="C170" i="3"/>
  <c r="Q169" i="3"/>
  <c r="M169" i="3"/>
  <c r="I169" i="3"/>
  <c r="E169" i="3"/>
  <c r="C169" i="3"/>
  <c r="Q168" i="3"/>
  <c r="M168" i="3"/>
  <c r="I168" i="3"/>
  <c r="E168" i="3"/>
  <c r="C168" i="3"/>
  <c r="Q167" i="3"/>
  <c r="M167" i="3"/>
  <c r="I167" i="3"/>
  <c r="E167" i="3"/>
  <c r="C167" i="3"/>
  <c r="Q166" i="3"/>
  <c r="M166" i="3"/>
  <c r="I166" i="3"/>
  <c r="E166" i="3"/>
  <c r="C166" i="3"/>
  <c r="Q165" i="3"/>
  <c r="M165" i="3"/>
  <c r="I165" i="3"/>
  <c r="E165" i="3"/>
  <c r="C165" i="3"/>
  <c r="Q164" i="3"/>
  <c r="M164" i="3"/>
  <c r="I164" i="3"/>
  <c r="E164" i="3"/>
  <c r="C164" i="3"/>
  <c r="Q163" i="3"/>
  <c r="M163" i="3"/>
  <c r="I163" i="3"/>
  <c r="E163" i="3"/>
  <c r="C163" i="3"/>
  <c r="Q162" i="3"/>
  <c r="M162" i="3"/>
  <c r="I162" i="3"/>
  <c r="E162" i="3"/>
  <c r="C162" i="3"/>
  <c r="Q161" i="3"/>
  <c r="M161" i="3"/>
  <c r="I161" i="3"/>
  <c r="E161" i="3"/>
  <c r="C161" i="3"/>
  <c r="Q160" i="3"/>
  <c r="M160" i="3"/>
  <c r="I160" i="3"/>
  <c r="E160" i="3"/>
  <c r="C160" i="3"/>
  <c r="Q159" i="3"/>
  <c r="M159" i="3"/>
  <c r="I159" i="3"/>
  <c r="E159" i="3"/>
  <c r="C159" i="3"/>
  <c r="Q158" i="3"/>
  <c r="M158" i="3"/>
  <c r="I158" i="3"/>
  <c r="E158" i="3"/>
  <c r="C158" i="3"/>
  <c r="Q157" i="3"/>
  <c r="M157" i="3"/>
  <c r="I157" i="3"/>
  <c r="E157" i="3"/>
  <c r="C157" i="3"/>
  <c r="Q156" i="3"/>
  <c r="M156" i="3"/>
  <c r="I156" i="3"/>
  <c r="E156" i="3"/>
  <c r="C156" i="3"/>
  <c r="Q155" i="3"/>
  <c r="M155" i="3"/>
  <c r="I155" i="3"/>
  <c r="E155" i="3"/>
  <c r="C155" i="3"/>
  <c r="Q154" i="3"/>
  <c r="M154" i="3"/>
  <c r="I154" i="3"/>
  <c r="E154" i="3"/>
  <c r="C154" i="3"/>
  <c r="Q153" i="3"/>
  <c r="M153" i="3"/>
  <c r="I153" i="3"/>
  <c r="E153" i="3"/>
  <c r="C153" i="3"/>
  <c r="Q152" i="3"/>
  <c r="M152" i="3"/>
  <c r="I152" i="3"/>
  <c r="E152" i="3"/>
  <c r="C152" i="3"/>
  <c r="Q151" i="3"/>
  <c r="M151" i="3"/>
  <c r="I151" i="3"/>
  <c r="E151" i="3"/>
  <c r="C151" i="3"/>
  <c r="Q150" i="3"/>
  <c r="M150" i="3"/>
  <c r="I150" i="3"/>
  <c r="E150" i="3"/>
  <c r="C150" i="3"/>
  <c r="Q149" i="3"/>
  <c r="M149" i="3"/>
  <c r="I149" i="3"/>
  <c r="E149" i="3"/>
  <c r="C149" i="3"/>
  <c r="Q148" i="3"/>
  <c r="M148" i="3"/>
  <c r="I148" i="3"/>
  <c r="E148" i="3"/>
  <c r="C148" i="3"/>
  <c r="Q147" i="3"/>
  <c r="M147" i="3"/>
  <c r="I147" i="3"/>
  <c r="E147" i="3"/>
  <c r="C147" i="3"/>
  <c r="Q146" i="3"/>
  <c r="M146" i="3"/>
  <c r="I146" i="3"/>
  <c r="E146" i="3"/>
  <c r="C146" i="3"/>
  <c r="Q145" i="3"/>
  <c r="M145" i="3"/>
  <c r="I145" i="3"/>
  <c r="E145" i="3"/>
  <c r="C145" i="3"/>
  <c r="Q144" i="3"/>
  <c r="M144" i="3"/>
  <c r="I144" i="3"/>
  <c r="E144" i="3"/>
  <c r="C144" i="3"/>
  <c r="Q143" i="3"/>
  <c r="M143" i="3"/>
  <c r="I143" i="3"/>
  <c r="E143" i="3"/>
  <c r="C143" i="3"/>
  <c r="Q142" i="3"/>
  <c r="M142" i="3"/>
  <c r="I142" i="3"/>
  <c r="E142" i="3"/>
  <c r="C142" i="3"/>
  <c r="Q141" i="3"/>
  <c r="M141" i="3"/>
  <c r="I141" i="3"/>
  <c r="E141" i="3"/>
  <c r="C141" i="3"/>
  <c r="Q140" i="3"/>
  <c r="M140" i="3"/>
  <c r="I140" i="3"/>
  <c r="E140" i="3"/>
  <c r="C140" i="3"/>
  <c r="Q139" i="3"/>
  <c r="M139" i="3"/>
  <c r="I139" i="3"/>
  <c r="E139" i="3"/>
  <c r="C139" i="3"/>
  <c r="Q138" i="3"/>
  <c r="M138" i="3"/>
  <c r="I138" i="3"/>
  <c r="E138" i="3"/>
  <c r="C138" i="3"/>
  <c r="Q137" i="3"/>
  <c r="M137" i="3"/>
  <c r="I137" i="3"/>
  <c r="E137" i="3"/>
  <c r="C137" i="3"/>
  <c r="Q136" i="3"/>
  <c r="M136" i="3"/>
  <c r="I136" i="3"/>
  <c r="E136" i="3"/>
  <c r="C136" i="3"/>
  <c r="Q135" i="3"/>
  <c r="M135" i="3"/>
  <c r="I135" i="3"/>
  <c r="E135" i="3"/>
  <c r="C135" i="3"/>
  <c r="Q134" i="3"/>
  <c r="M134" i="3"/>
  <c r="I134" i="3"/>
  <c r="E134" i="3"/>
  <c r="C134" i="3"/>
  <c r="Q133" i="3"/>
  <c r="M133" i="3"/>
  <c r="I133" i="3"/>
  <c r="E133" i="3"/>
  <c r="C133" i="3"/>
  <c r="Q132" i="3"/>
  <c r="M132" i="3"/>
  <c r="I132" i="3"/>
  <c r="E132" i="3"/>
  <c r="C132" i="3"/>
  <c r="Q131" i="3"/>
  <c r="M131" i="3"/>
  <c r="I131" i="3"/>
  <c r="E131" i="3"/>
  <c r="C131" i="3"/>
  <c r="Q130" i="3"/>
  <c r="M130" i="3"/>
  <c r="I130" i="3"/>
  <c r="E130" i="3"/>
  <c r="C130" i="3"/>
  <c r="Q129" i="3"/>
  <c r="M129" i="3"/>
  <c r="I129" i="3"/>
  <c r="E129" i="3"/>
  <c r="C129" i="3"/>
  <c r="Q128" i="3"/>
  <c r="M128" i="3"/>
  <c r="I128" i="3"/>
  <c r="E128" i="3"/>
  <c r="C128" i="3"/>
  <c r="Q127" i="3"/>
  <c r="M127" i="3"/>
  <c r="I127" i="3"/>
  <c r="E127" i="3"/>
  <c r="C127" i="3"/>
  <c r="Q126" i="3"/>
  <c r="M126" i="3"/>
  <c r="I126" i="3"/>
  <c r="E126" i="3"/>
  <c r="C126" i="3"/>
  <c r="Q125" i="3"/>
  <c r="M125" i="3"/>
  <c r="I125" i="3"/>
  <c r="E125" i="3"/>
  <c r="C125" i="3"/>
  <c r="Q124" i="3"/>
  <c r="M124" i="3"/>
  <c r="I124" i="3"/>
  <c r="E124" i="3"/>
  <c r="C124" i="3"/>
  <c r="Q123" i="3"/>
  <c r="M123" i="3"/>
  <c r="I123" i="3"/>
  <c r="E123" i="3"/>
  <c r="C123" i="3"/>
  <c r="Q122" i="3"/>
  <c r="M122" i="3"/>
  <c r="I122" i="3"/>
  <c r="E122" i="3"/>
  <c r="C122" i="3"/>
  <c r="Q121" i="3"/>
  <c r="M121" i="3"/>
  <c r="I121" i="3"/>
  <c r="E121" i="3"/>
  <c r="C121" i="3"/>
  <c r="Q120" i="3"/>
  <c r="M120" i="3"/>
  <c r="I120" i="3"/>
  <c r="E120" i="3"/>
  <c r="C120" i="3"/>
  <c r="Q119" i="3"/>
  <c r="M119" i="3"/>
  <c r="I119" i="3"/>
  <c r="E119" i="3"/>
  <c r="C119" i="3"/>
  <c r="Q118" i="3"/>
  <c r="M118" i="3"/>
  <c r="I118" i="3"/>
  <c r="E118" i="3"/>
  <c r="C118" i="3"/>
  <c r="Q117" i="3"/>
  <c r="M117" i="3"/>
  <c r="I117" i="3"/>
  <c r="E117" i="3"/>
  <c r="C117" i="3"/>
  <c r="Q116" i="3"/>
  <c r="M116" i="3"/>
  <c r="I116" i="3"/>
  <c r="E116" i="3"/>
  <c r="C116" i="3"/>
  <c r="Q115" i="3"/>
  <c r="M115" i="3"/>
  <c r="I115" i="3"/>
  <c r="E115" i="3"/>
  <c r="C115" i="3"/>
  <c r="Q114" i="3"/>
  <c r="M114" i="3"/>
  <c r="I114" i="3"/>
  <c r="E114" i="3"/>
  <c r="C114" i="3"/>
  <c r="Q113" i="3"/>
  <c r="M113" i="3"/>
  <c r="I113" i="3"/>
  <c r="E113" i="3"/>
  <c r="C113" i="3"/>
  <c r="Q112" i="3"/>
  <c r="M112" i="3"/>
  <c r="I112" i="3"/>
  <c r="E112" i="3"/>
  <c r="C112" i="3"/>
  <c r="Q111" i="3"/>
  <c r="M111" i="3"/>
  <c r="I111" i="3"/>
  <c r="E111" i="3"/>
  <c r="C111" i="3"/>
  <c r="Q110" i="3"/>
  <c r="M110" i="3"/>
  <c r="I110" i="3"/>
  <c r="E110" i="3"/>
  <c r="C110" i="3"/>
  <c r="Q109" i="3"/>
  <c r="M109" i="3"/>
  <c r="I109" i="3"/>
  <c r="E109" i="3"/>
  <c r="C109" i="3"/>
  <c r="Q108" i="3"/>
  <c r="M108" i="3"/>
  <c r="I108" i="3"/>
  <c r="E108" i="3"/>
  <c r="C108" i="3"/>
  <c r="Q107" i="3"/>
  <c r="M107" i="3"/>
  <c r="I107" i="3"/>
  <c r="E107" i="3"/>
  <c r="C107" i="3"/>
  <c r="Q106" i="3"/>
  <c r="M106" i="3"/>
  <c r="I106" i="3"/>
  <c r="E106" i="3"/>
  <c r="C106" i="3"/>
  <c r="Q105" i="3"/>
  <c r="M105" i="3"/>
  <c r="I105" i="3"/>
  <c r="E105" i="3"/>
  <c r="C105" i="3"/>
  <c r="Q104" i="3"/>
  <c r="M104" i="3"/>
  <c r="I104" i="3"/>
  <c r="E104" i="3"/>
  <c r="C104" i="3"/>
  <c r="Q103" i="3"/>
  <c r="M103" i="3"/>
  <c r="I103" i="3"/>
  <c r="E103" i="3"/>
  <c r="C103" i="3"/>
  <c r="Q102" i="3"/>
  <c r="M102" i="3"/>
  <c r="I102" i="3"/>
  <c r="E102" i="3"/>
  <c r="C102" i="3"/>
  <c r="Q101" i="3"/>
  <c r="M101" i="3"/>
  <c r="I101" i="3"/>
  <c r="E101" i="3"/>
  <c r="C101" i="3"/>
  <c r="Q100" i="3"/>
  <c r="M100" i="3"/>
  <c r="I100" i="3"/>
  <c r="E100" i="3"/>
  <c r="C100" i="3"/>
  <c r="Q99" i="3"/>
  <c r="M99" i="3"/>
  <c r="I99" i="3"/>
  <c r="E99" i="3"/>
  <c r="C99" i="3"/>
  <c r="Q98" i="3"/>
  <c r="M98" i="3"/>
  <c r="I98" i="3"/>
  <c r="E98" i="3"/>
  <c r="C98" i="3"/>
  <c r="Q97" i="3"/>
  <c r="M97" i="3"/>
  <c r="I97" i="3"/>
  <c r="E97" i="3"/>
  <c r="C97" i="3"/>
  <c r="Q96" i="3"/>
  <c r="M96" i="3"/>
  <c r="I96" i="3"/>
  <c r="E96" i="3"/>
  <c r="C96" i="3"/>
  <c r="Q95" i="3"/>
  <c r="M95" i="3"/>
  <c r="I95" i="3"/>
  <c r="E95" i="3"/>
  <c r="C95" i="3"/>
  <c r="Q94" i="3"/>
  <c r="M94" i="3"/>
  <c r="I94" i="3"/>
  <c r="E94" i="3"/>
  <c r="C94" i="3"/>
  <c r="Q93" i="3"/>
  <c r="M93" i="3"/>
  <c r="I93" i="3"/>
  <c r="E93" i="3"/>
  <c r="C93" i="3"/>
  <c r="Q92" i="3"/>
  <c r="M92" i="3"/>
  <c r="I92" i="3"/>
  <c r="E92" i="3"/>
  <c r="C92" i="3"/>
  <c r="Q91" i="3"/>
  <c r="M91" i="3"/>
  <c r="I91" i="3"/>
  <c r="E91" i="3"/>
  <c r="C91" i="3"/>
  <c r="Q90" i="3"/>
  <c r="M90" i="3"/>
  <c r="I90" i="3"/>
  <c r="E90" i="3"/>
  <c r="C90" i="3"/>
  <c r="Q89" i="3"/>
  <c r="M89" i="3"/>
  <c r="I89" i="3"/>
  <c r="E89" i="3"/>
  <c r="C89" i="3"/>
  <c r="Q88" i="3"/>
  <c r="M88" i="3"/>
  <c r="I88" i="3"/>
  <c r="E88" i="3"/>
  <c r="C88" i="3"/>
  <c r="Q87" i="3"/>
  <c r="M87" i="3"/>
  <c r="I87" i="3"/>
  <c r="E87" i="3"/>
  <c r="C87" i="3"/>
  <c r="Q86" i="3"/>
  <c r="M86" i="3"/>
  <c r="I86" i="3"/>
  <c r="E86" i="3"/>
  <c r="C86" i="3"/>
  <c r="Q85" i="3"/>
  <c r="M85" i="3"/>
  <c r="I85" i="3"/>
  <c r="E85" i="3"/>
  <c r="C85" i="3"/>
  <c r="Q84" i="3"/>
  <c r="M84" i="3"/>
  <c r="I84" i="3"/>
  <c r="E84" i="3"/>
  <c r="C84" i="3"/>
  <c r="Q83" i="3"/>
  <c r="M83" i="3"/>
  <c r="I83" i="3"/>
  <c r="E83" i="3"/>
  <c r="C83" i="3"/>
  <c r="Q82" i="3"/>
  <c r="M82" i="3"/>
  <c r="I82" i="3"/>
  <c r="E82" i="3"/>
  <c r="C82" i="3"/>
  <c r="Q81" i="3"/>
  <c r="M81" i="3"/>
  <c r="I81" i="3"/>
  <c r="E81" i="3"/>
  <c r="C81" i="3"/>
  <c r="Q80" i="3"/>
  <c r="M80" i="3"/>
  <c r="I80" i="3"/>
  <c r="E80" i="3"/>
  <c r="C80" i="3"/>
  <c r="Q79" i="3"/>
  <c r="M79" i="3"/>
  <c r="I79" i="3"/>
  <c r="E79" i="3"/>
  <c r="C79" i="3"/>
  <c r="Q78" i="3"/>
  <c r="M78" i="3"/>
  <c r="I78" i="3"/>
  <c r="E78" i="3"/>
  <c r="C78" i="3"/>
  <c r="Q77" i="3"/>
  <c r="M77" i="3"/>
  <c r="I77" i="3"/>
  <c r="E77" i="3"/>
  <c r="C77" i="3"/>
  <c r="Q76" i="3"/>
  <c r="M76" i="3"/>
  <c r="I76" i="3"/>
  <c r="E76" i="3"/>
  <c r="C76" i="3"/>
  <c r="Q75" i="3"/>
  <c r="M75" i="3"/>
  <c r="I75" i="3"/>
  <c r="E75" i="3"/>
  <c r="C75" i="3"/>
  <c r="Q74" i="3"/>
  <c r="M74" i="3"/>
  <c r="I74" i="3"/>
  <c r="E74" i="3"/>
  <c r="C74" i="3"/>
  <c r="Q73" i="3"/>
  <c r="M73" i="3"/>
  <c r="I73" i="3"/>
  <c r="E73" i="3"/>
  <c r="C73" i="3"/>
  <c r="Q72" i="3"/>
  <c r="M72" i="3"/>
  <c r="I72" i="3"/>
  <c r="E72" i="3"/>
  <c r="C72" i="3"/>
  <c r="Q71" i="3"/>
  <c r="M71" i="3"/>
  <c r="I71" i="3"/>
  <c r="E71" i="3"/>
  <c r="C71" i="3"/>
  <c r="Q70" i="3"/>
  <c r="M70" i="3"/>
  <c r="I70" i="3"/>
  <c r="E70" i="3"/>
  <c r="C70" i="3"/>
  <c r="Q69" i="3"/>
  <c r="M69" i="3"/>
  <c r="I69" i="3"/>
  <c r="E69" i="3"/>
  <c r="C69" i="3"/>
  <c r="Q68" i="3"/>
  <c r="M68" i="3"/>
  <c r="I68" i="3"/>
  <c r="E68" i="3"/>
  <c r="C68" i="3"/>
  <c r="Q67" i="3"/>
  <c r="M67" i="3"/>
  <c r="I67" i="3"/>
  <c r="E67" i="3"/>
  <c r="C67" i="3"/>
  <c r="Q66" i="3"/>
  <c r="M66" i="3"/>
  <c r="I66" i="3"/>
  <c r="E66" i="3"/>
  <c r="C66" i="3"/>
  <c r="Q65" i="3"/>
  <c r="M65" i="3"/>
  <c r="I65" i="3"/>
  <c r="E65" i="3"/>
  <c r="C65" i="3"/>
  <c r="Q64" i="3"/>
  <c r="M64" i="3"/>
  <c r="I64" i="3"/>
  <c r="E64" i="3"/>
  <c r="C64" i="3"/>
  <c r="Q63" i="3"/>
  <c r="M63" i="3"/>
  <c r="I63" i="3"/>
  <c r="E63" i="3"/>
  <c r="C63" i="3"/>
  <c r="Q62" i="3"/>
  <c r="M62" i="3"/>
  <c r="I62" i="3"/>
  <c r="E62" i="3"/>
  <c r="C62" i="3"/>
  <c r="Q61" i="3"/>
  <c r="M61" i="3"/>
  <c r="I61" i="3"/>
  <c r="E61" i="3"/>
  <c r="C61" i="3"/>
  <c r="Q60" i="3"/>
  <c r="M60" i="3"/>
  <c r="I60" i="3"/>
  <c r="E60" i="3"/>
  <c r="C60" i="3"/>
  <c r="Q59" i="3"/>
  <c r="M59" i="3"/>
  <c r="I59" i="3"/>
  <c r="E59" i="3"/>
  <c r="C59" i="3"/>
  <c r="Q58" i="3"/>
  <c r="M58" i="3"/>
  <c r="I58" i="3"/>
  <c r="E58" i="3"/>
  <c r="C58" i="3"/>
  <c r="Q57" i="3"/>
  <c r="M57" i="3"/>
  <c r="I57" i="3"/>
  <c r="E57" i="3"/>
  <c r="C57" i="3"/>
  <c r="Q56" i="3"/>
  <c r="M56" i="3"/>
  <c r="I56" i="3"/>
  <c r="E56" i="3"/>
  <c r="C56" i="3"/>
  <c r="Q55" i="3"/>
  <c r="M55" i="3"/>
  <c r="I55" i="3"/>
  <c r="E55" i="3"/>
  <c r="C55" i="3"/>
  <c r="Q54" i="3"/>
  <c r="M54" i="3"/>
  <c r="I54" i="3"/>
  <c r="E54" i="3"/>
  <c r="C54" i="3"/>
  <c r="Q53" i="3"/>
  <c r="M53" i="3"/>
  <c r="I53" i="3"/>
  <c r="E53" i="3"/>
  <c r="C53" i="3"/>
  <c r="Q52" i="3"/>
  <c r="M52" i="3"/>
  <c r="I52" i="3"/>
  <c r="E52" i="3"/>
  <c r="C52" i="3"/>
  <c r="Q51" i="3"/>
  <c r="M51" i="3"/>
  <c r="I51" i="3"/>
  <c r="E51" i="3"/>
  <c r="C51" i="3"/>
  <c r="Q50" i="3"/>
  <c r="M50" i="3"/>
  <c r="I50" i="3"/>
  <c r="E50" i="3"/>
  <c r="C50" i="3"/>
  <c r="Q49" i="3"/>
  <c r="M49" i="3"/>
  <c r="I49" i="3"/>
  <c r="E49" i="3"/>
  <c r="C49" i="3"/>
  <c r="Q48" i="3"/>
  <c r="M48" i="3"/>
  <c r="I48" i="3"/>
  <c r="E48" i="3"/>
  <c r="C48" i="3"/>
  <c r="Q47" i="3"/>
  <c r="M47" i="3"/>
  <c r="I47" i="3"/>
  <c r="E47" i="3"/>
  <c r="C47" i="3"/>
  <c r="Q46" i="3"/>
  <c r="M46" i="3"/>
  <c r="I46" i="3"/>
  <c r="E46" i="3"/>
  <c r="C46" i="3"/>
  <c r="Q45" i="3"/>
  <c r="M45" i="3"/>
  <c r="I45" i="3"/>
  <c r="E45" i="3"/>
  <c r="C45" i="3"/>
  <c r="Q44" i="3"/>
  <c r="M44" i="3"/>
  <c r="I44" i="3"/>
  <c r="E44" i="3"/>
  <c r="C44" i="3"/>
  <c r="Q43" i="3"/>
  <c r="M43" i="3"/>
  <c r="I43" i="3"/>
  <c r="E43" i="3"/>
  <c r="C43" i="3"/>
  <c r="Q42" i="3"/>
  <c r="M42" i="3"/>
  <c r="I42" i="3"/>
  <c r="E42" i="3"/>
  <c r="C42" i="3"/>
  <c r="Q41" i="3"/>
  <c r="M41" i="3"/>
  <c r="I41" i="3"/>
  <c r="E41" i="3"/>
  <c r="C41" i="3"/>
  <c r="Q40" i="3"/>
  <c r="M40" i="3"/>
  <c r="I40" i="3"/>
  <c r="E40" i="3"/>
  <c r="C40" i="3"/>
  <c r="Q39" i="3"/>
  <c r="M39" i="3"/>
  <c r="I39" i="3"/>
  <c r="E39" i="3"/>
  <c r="C39" i="3"/>
  <c r="Q38" i="3"/>
  <c r="M38" i="3"/>
  <c r="I38" i="3"/>
  <c r="E38" i="3"/>
  <c r="C38" i="3"/>
  <c r="Q37" i="3"/>
  <c r="M37" i="3"/>
  <c r="I37" i="3"/>
  <c r="E37" i="3"/>
  <c r="C37" i="3"/>
  <c r="Q36" i="3"/>
  <c r="M36" i="3"/>
  <c r="I36" i="3"/>
  <c r="E36" i="3"/>
  <c r="C36" i="3"/>
  <c r="Q35" i="3"/>
  <c r="M35" i="3"/>
  <c r="I35" i="3"/>
  <c r="E35" i="3"/>
  <c r="C35" i="3"/>
  <c r="Q34" i="3"/>
  <c r="M34" i="3"/>
  <c r="I34" i="3"/>
  <c r="E34" i="3"/>
  <c r="C34" i="3"/>
  <c r="Q33" i="3"/>
  <c r="M33" i="3"/>
  <c r="I33" i="3"/>
  <c r="E33" i="3"/>
  <c r="C33" i="3"/>
  <c r="Q32" i="3"/>
  <c r="M32" i="3"/>
  <c r="I32" i="3"/>
  <c r="E32" i="3"/>
  <c r="C32" i="3"/>
  <c r="Q31" i="3"/>
  <c r="M31" i="3"/>
  <c r="I31" i="3"/>
  <c r="E31" i="3"/>
  <c r="C31" i="3"/>
  <c r="Q30" i="3"/>
  <c r="M30" i="3"/>
  <c r="I30" i="3"/>
  <c r="E30" i="3"/>
  <c r="C30" i="3"/>
  <c r="Q29" i="3"/>
  <c r="M29" i="3"/>
  <c r="I29" i="3"/>
  <c r="E29" i="3"/>
  <c r="C29" i="3"/>
  <c r="Q28" i="3"/>
  <c r="M28" i="3"/>
  <c r="I28" i="3"/>
  <c r="E28" i="3"/>
  <c r="C28" i="3"/>
  <c r="Q27" i="3"/>
  <c r="M27" i="3"/>
  <c r="I27" i="3"/>
  <c r="E27" i="3"/>
  <c r="C27" i="3"/>
  <c r="Q26" i="3"/>
  <c r="M26" i="3"/>
  <c r="I26" i="3"/>
  <c r="E26" i="3"/>
  <c r="C26" i="3"/>
  <c r="Q25" i="3"/>
  <c r="M25" i="3"/>
  <c r="I25" i="3"/>
  <c r="E25" i="3"/>
  <c r="C25" i="3"/>
  <c r="Q24" i="3"/>
  <c r="M24" i="3"/>
  <c r="I24" i="3"/>
  <c r="E24" i="3"/>
  <c r="C24" i="3"/>
  <c r="Q23" i="3"/>
  <c r="M23" i="3"/>
  <c r="I23" i="3"/>
  <c r="E23" i="3"/>
  <c r="C23" i="3"/>
  <c r="Q22" i="3"/>
  <c r="M22" i="3"/>
  <c r="I22" i="3"/>
  <c r="E22" i="3"/>
  <c r="C22" i="3"/>
  <c r="Q21" i="3"/>
  <c r="M21" i="3"/>
  <c r="I21" i="3"/>
  <c r="E21" i="3"/>
  <c r="C21" i="3"/>
  <c r="Q20" i="3"/>
  <c r="M20" i="3"/>
  <c r="I20" i="3"/>
  <c r="E20" i="3"/>
  <c r="C20" i="3"/>
  <c r="Q19" i="3"/>
  <c r="M19" i="3"/>
  <c r="I19" i="3"/>
  <c r="E19" i="3"/>
  <c r="C19" i="3"/>
  <c r="Q18" i="3"/>
  <c r="M18" i="3"/>
  <c r="I18" i="3"/>
  <c r="E18" i="3"/>
  <c r="C18" i="3"/>
  <c r="Q17" i="3"/>
  <c r="M17" i="3"/>
  <c r="I17" i="3"/>
  <c r="E17" i="3"/>
  <c r="C17" i="3"/>
  <c r="Q16" i="3"/>
  <c r="M16" i="3"/>
  <c r="I16" i="3"/>
  <c r="E16" i="3"/>
  <c r="C16" i="3"/>
  <c r="Q15" i="3"/>
  <c r="M15" i="3"/>
  <c r="I15" i="3"/>
  <c r="E15" i="3"/>
  <c r="C15" i="3"/>
  <c r="Q14" i="3"/>
  <c r="M14" i="3"/>
  <c r="I14" i="3"/>
  <c r="E14" i="3"/>
  <c r="C14" i="3"/>
  <c r="Q13" i="3"/>
  <c r="M13" i="3"/>
  <c r="I13" i="3"/>
  <c r="E13" i="3"/>
  <c r="C13" i="3"/>
  <c r="Q12" i="3"/>
  <c r="M12" i="3"/>
  <c r="I12" i="3"/>
  <c r="E12" i="3"/>
  <c r="C12" i="3"/>
  <c r="Q11" i="3"/>
  <c r="M11" i="3"/>
  <c r="I11" i="3"/>
  <c r="E11" i="3"/>
  <c r="C11" i="3"/>
  <c r="Q10" i="3"/>
  <c r="M10" i="3"/>
  <c r="I10" i="3"/>
  <c r="E10" i="3"/>
  <c r="C10" i="3"/>
  <c r="Q9" i="3"/>
  <c r="M9" i="3"/>
  <c r="I9" i="3"/>
  <c r="E9" i="3"/>
  <c r="C9" i="3"/>
  <c r="S8" i="3"/>
  <c r="Q8" i="3"/>
  <c r="O8" i="3"/>
  <c r="M8" i="3"/>
  <c r="K8" i="3"/>
  <c r="I8" i="3"/>
  <c r="G8" i="3"/>
  <c r="E8" i="3"/>
  <c r="C8" i="3"/>
  <c r="Q7" i="3"/>
  <c r="M7" i="3"/>
  <c r="I7" i="3"/>
  <c r="E7" i="3"/>
  <c r="C7" i="3"/>
  <c r="Q6" i="3"/>
  <c r="M6" i="3"/>
  <c r="I6" i="3"/>
  <c r="E6" i="3"/>
  <c r="C6" i="3"/>
  <c r="Q5" i="3"/>
  <c r="M5" i="3"/>
  <c r="I5" i="3"/>
  <c r="E5" i="3"/>
  <c r="C5" i="3"/>
  <c r="Q4" i="3"/>
  <c r="M4" i="3"/>
  <c r="I4" i="3"/>
  <c r="E4" i="3"/>
  <c r="C4" i="3"/>
  <c r="S3" i="3"/>
  <c r="S6" i="3" s="1"/>
  <c r="Q3" i="3"/>
  <c r="M3" i="3"/>
  <c r="O3" i="3" s="1"/>
  <c r="O6" i="3" s="1"/>
  <c r="K3" i="3"/>
  <c r="K6" i="3" s="1"/>
  <c r="I3" i="3"/>
  <c r="G3" i="3"/>
  <c r="G6" i="3" s="1"/>
  <c r="E3" i="3"/>
  <c r="C3" i="3"/>
  <c r="B7" i="1"/>
  <c r="Q76" i="1"/>
  <c r="P76" i="1"/>
  <c r="O76" i="1"/>
  <c r="Q75" i="1"/>
  <c r="P75" i="1"/>
  <c r="O75" i="1"/>
  <c r="K76" i="1"/>
  <c r="J76" i="1"/>
  <c r="I76" i="1"/>
  <c r="K75" i="1"/>
  <c r="J75" i="1"/>
  <c r="I75" i="1"/>
  <c r="Q70" i="1"/>
  <c r="Q74" i="1" s="1"/>
  <c r="P70" i="1"/>
  <c r="P74" i="1" s="1"/>
  <c r="O70" i="1"/>
  <c r="O74" i="1" s="1"/>
  <c r="K70" i="1"/>
  <c r="K74" i="1" s="1"/>
  <c r="J70" i="1"/>
  <c r="J74" i="1" s="1"/>
  <c r="I70" i="1"/>
  <c r="I74" i="1" s="1"/>
  <c r="B28" i="1"/>
  <c r="E25" i="2"/>
  <c r="B48" i="1"/>
  <c r="B47" i="1"/>
  <c r="B45" i="1"/>
  <c r="B44" i="1"/>
  <c r="B43" i="1"/>
  <c r="C27" i="2"/>
  <c r="C26" i="2"/>
  <c r="B9" i="1"/>
  <c r="E8" i="2"/>
  <c r="L13" i="2"/>
  <c r="I17" i="2"/>
  <c r="B8" i="2"/>
  <c r="B7" i="2" s="1"/>
  <c r="B11" i="2" s="1"/>
  <c r="E11" i="2" s="1"/>
  <c r="B4" i="2"/>
  <c r="B39" i="1" s="1"/>
  <c r="C53" i="1"/>
  <c r="D53" i="1"/>
  <c r="E53" i="1"/>
  <c r="C54" i="1"/>
  <c r="D54" i="1"/>
  <c r="E54" i="1"/>
  <c r="C55" i="1"/>
  <c r="D55" i="1"/>
  <c r="E55" i="1"/>
  <c r="B56" i="1"/>
  <c r="B57" i="1"/>
  <c r="B58" i="1"/>
  <c r="C61" i="1"/>
  <c r="D61" i="1"/>
  <c r="E61" i="1"/>
  <c r="C62" i="1"/>
  <c r="D62" i="1"/>
  <c r="E62" i="1"/>
  <c r="C63" i="1"/>
  <c r="D63" i="1"/>
  <c r="E63" i="1"/>
  <c r="C70" i="1"/>
  <c r="C74" i="1" s="1"/>
  <c r="D70" i="1"/>
  <c r="D74" i="1" s="1"/>
  <c r="E70" i="1"/>
  <c r="E74" i="1" s="1"/>
  <c r="C75" i="1"/>
  <c r="D75" i="1"/>
  <c r="E75" i="1"/>
  <c r="C76" i="1"/>
  <c r="D76" i="1"/>
  <c r="E76" i="1"/>
  <c r="B90" i="1"/>
  <c r="C90" i="1"/>
  <c r="D90" i="1"/>
  <c r="U4" i="3" l="1"/>
  <c r="B15" i="2" s="1"/>
  <c r="B18" i="2" s="1"/>
  <c r="B41" i="1" s="1"/>
  <c r="K15" i="2"/>
  <c r="B12" i="2" s="1"/>
  <c r="E12" i="2" s="1"/>
  <c r="B13" i="2" s="1"/>
  <c r="B40" i="1" s="1"/>
  <c r="G24" i="2"/>
  <c r="G23" i="2"/>
  <c r="G25" i="2" s="1"/>
  <c r="B22" i="2" s="1"/>
  <c r="C58" i="1"/>
  <c r="C57" i="1"/>
  <c r="C56" i="1"/>
  <c r="B12" i="1"/>
  <c r="B13" i="1" s="1"/>
  <c r="B42" i="1" l="1"/>
  <c r="B24" i="2"/>
  <c r="C66" i="1"/>
  <c r="O69" i="1" s="1"/>
  <c r="O71" i="1" s="1"/>
  <c r="O72" i="1" s="1"/>
  <c r="O73" i="1" s="1"/>
  <c r="O77" i="1" s="1"/>
  <c r="D58" i="1"/>
  <c r="C64" i="1"/>
  <c r="I69" i="1" s="1"/>
  <c r="I71" i="1" s="1"/>
  <c r="I72" i="1" s="1"/>
  <c r="I73" i="1" s="1"/>
  <c r="I77" i="1" s="1"/>
  <c r="D56" i="1"/>
  <c r="C65" i="1"/>
  <c r="C69" i="1" s="1"/>
  <c r="C71" i="1" s="1"/>
  <c r="D57" i="1"/>
  <c r="B20" i="2"/>
  <c r="B87" i="1"/>
  <c r="C87" i="1"/>
  <c r="D87" i="1"/>
  <c r="B29" i="2" l="1"/>
  <c r="B46" i="1" s="1"/>
  <c r="E58" i="1"/>
  <c r="E66" i="1" s="1"/>
  <c r="D66" i="1"/>
  <c r="P69" i="1" s="1"/>
  <c r="P71" i="1" s="1"/>
  <c r="P72" i="1" s="1"/>
  <c r="P73" i="1" s="1"/>
  <c r="P77" i="1" s="1"/>
  <c r="Q69" i="1"/>
  <c r="Q71" i="1" s="1"/>
  <c r="Q72" i="1" s="1"/>
  <c r="Q73" i="1" s="1"/>
  <c r="Q77" i="1" s="1"/>
  <c r="D82" i="1"/>
  <c r="D83" i="1" s="1"/>
  <c r="D64" i="1"/>
  <c r="J69" i="1" s="1"/>
  <c r="J71" i="1" s="1"/>
  <c r="J72" i="1" s="1"/>
  <c r="J73" i="1" s="1"/>
  <c r="J77" i="1" s="1"/>
  <c r="E56" i="1"/>
  <c r="E64" i="1" s="1"/>
  <c r="C72" i="1"/>
  <c r="C73" i="1" s="1"/>
  <c r="C77" i="1" s="1"/>
  <c r="D65" i="1"/>
  <c r="D69" i="1" s="1"/>
  <c r="D71" i="1" s="1"/>
  <c r="E57" i="1"/>
  <c r="E65" i="1" s="1"/>
  <c r="J78" i="1" l="1"/>
  <c r="C78" i="1"/>
  <c r="D84" i="1"/>
  <c r="I78" i="1"/>
  <c r="O78" i="1"/>
  <c r="P78" i="1"/>
  <c r="Q78" i="1"/>
  <c r="B82" i="1"/>
  <c r="B83" i="1" s="1"/>
  <c r="B84" i="1" s="1"/>
  <c r="K69" i="1"/>
  <c r="K71" i="1" s="1"/>
  <c r="K72" i="1" s="1"/>
  <c r="K73" i="1" s="1"/>
  <c r="K77" i="1" s="1"/>
  <c r="K78" i="1" s="1"/>
  <c r="D72" i="1"/>
  <c r="D73" i="1" s="1"/>
  <c r="D77" i="1" s="1"/>
  <c r="D78" i="1" s="1"/>
  <c r="E69" i="1"/>
  <c r="E71" i="1" s="1"/>
  <c r="C82" i="1"/>
  <c r="C83" i="1" s="1"/>
  <c r="C84" i="1" s="1"/>
  <c r="B85" i="1" l="1"/>
  <c r="D85" i="1"/>
  <c r="E72" i="1"/>
  <c r="E73" i="1" s="1"/>
  <c r="E77" i="1" s="1"/>
  <c r="E78" i="1" l="1"/>
  <c r="C85" i="1" s="1"/>
  <c r="C86" i="1" s="1"/>
  <c r="C88" i="1" s="1"/>
  <c r="C89" i="1" s="1"/>
  <c r="C91" i="1" s="1"/>
  <c r="C95" i="1"/>
  <c r="B100" i="1"/>
  <c r="D100" i="1"/>
  <c r="E100" i="1"/>
  <c r="E98" i="1"/>
  <c r="D96" i="1"/>
  <c r="B95" i="1"/>
  <c r="D97" i="1"/>
  <c r="F99" i="1"/>
  <c r="B98" i="1"/>
  <c r="B96" i="1"/>
  <c r="D98" i="1"/>
  <c r="E96" i="1"/>
  <c r="E99" i="1"/>
  <c r="E97" i="1"/>
  <c r="E95" i="1"/>
  <c r="F95" i="1"/>
  <c r="C98" i="1"/>
  <c r="F100" i="1"/>
  <c r="F96" i="1"/>
  <c r="D99" i="1"/>
  <c r="D95" i="1"/>
  <c r="F97" i="1"/>
  <c r="C100" i="1"/>
  <c r="C96" i="1"/>
  <c r="F98" i="1"/>
  <c r="B99" i="1"/>
  <c r="C99" i="1"/>
  <c r="B97" i="1"/>
  <c r="C97" i="1"/>
  <c r="D86" i="1"/>
  <c r="D88" i="1" s="1"/>
  <c r="D89" i="1" s="1"/>
  <c r="D91" i="1" s="1"/>
  <c r="B86" i="1"/>
  <c r="B88" i="1" s="1"/>
  <c r="B89" i="1" s="1"/>
  <c r="B9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tc={C3BE5A5D-1D32-4098-9D3D-0CD2001E2BF2}</author>
    <author>tc={1B62757F-E698-4B14-9CD9-EB7089CD2CD9}</author>
    <author>tc={C8C41152-A381-441A-8E09-BE73F35C132B}</author>
    <author>tc={2D61F417-7FED-46E3-A656-2E1041A19E9F}</author>
    <author>tc={94E49853-4D1B-44BA-A3B4-0BE346AC0A9A}</author>
  </authors>
  <commentList>
    <comment ref="L13" authorId="0" shapeId="0" xr:uid="{C3BE5A5D-1D32-4098-9D3D-0CD2001E2BF2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a general average of all countries ERP as no specific per country revenue figures available
Safest assumption is a general average</t>
      </text>
    </comment>
    <comment ref="I17" authorId="1" shapeId="0" xr:uid="{1B62757F-E698-4B14-9CD9-EB7089CD2CD9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a general average of all countries ERP as no specific per country revenue figures available
Safest assumption is a general average</t>
      </text>
    </comment>
    <comment ref="F23" authorId="2" shapeId="0" xr:uid="{C8C41152-A381-441A-8E09-BE73F35C13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ECLGS loans carry an interest rate ranging from 7.95% to 9.25% </t>
      </text>
    </comment>
    <comment ref="D24" authorId="3" shapeId="0" xr:uid="{2D61F417-7FED-46E3-A656-2E1041A19E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Cash Credit , Working Capital Demand Loan </t>
      </text>
    </comment>
    <comment ref="F24" authorId="4" shapeId="0" xr:uid="{94E49853-4D1B-44BA-A3B4-0BE346AC0A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Cash credit facility &amp; WCDL carries an interest rate ranging from 10.15% to 12.45% </t>
      </text>
    </comment>
  </commentList>
</comments>
</file>

<file path=xl/sharedStrings.xml><?xml version="1.0" encoding="utf-8"?>
<sst xmlns="http://schemas.openxmlformats.org/spreadsheetml/2006/main" count="237" uniqueCount="171">
  <si>
    <t>Input Parameter</t>
  </si>
  <si>
    <t>Value</t>
  </si>
  <si>
    <t>Notes / Source</t>
  </si>
  <si>
    <t>Company Name</t>
  </si>
  <si>
    <t>Shares Outstanding (Cr.)</t>
  </si>
  <si>
    <t>CMP (₹)</t>
  </si>
  <si>
    <t>Live or last traded price</t>
  </si>
  <si>
    <t>Market Cap (₹ Cr.)</t>
  </si>
  <si>
    <t>Total Debt (₹ Cr.)</t>
  </si>
  <si>
    <t>Latest balance sheet</t>
  </si>
  <si>
    <t>Cash &amp; Equivalents (₹ Cr.)</t>
  </si>
  <si>
    <t>Net Debt (₹ Cr.)</t>
  </si>
  <si>
    <t>Enterprise Value @ CMP (₹ Cr.)</t>
  </si>
  <si>
    <t>Assumption</t>
  </si>
  <si>
    <t>FY27E</t>
  </si>
  <si>
    <t>FY28E</t>
  </si>
  <si>
    <t>FY29E</t>
  </si>
  <si>
    <t>Bear Case — Revenue Growth %</t>
  </si>
  <si>
    <t>Base Case — Revenue Growth %</t>
  </si>
  <si>
    <t>Bull Case — Revenue Growth %</t>
  </si>
  <si>
    <t>Bear Case — EBITDA Margin %</t>
  </si>
  <si>
    <t>Base Case — EBITDA Margin %</t>
  </si>
  <si>
    <t>Bull Case — EBITDA Margin %</t>
  </si>
  <si>
    <t>Tax Rate %</t>
  </si>
  <si>
    <t>Cost of Debt (pre-tax %)</t>
  </si>
  <si>
    <t>Tax Rate for WACC %</t>
  </si>
  <si>
    <t>Total Equity (₹ Cr.)</t>
  </si>
  <si>
    <t>Terminal Growth Rate %</t>
  </si>
  <si>
    <t>EV/EBITDA Exit Multiple (x)</t>
  </si>
  <si>
    <t>FY26A</t>
  </si>
  <si>
    <t>Bear Case — Revenue (₹ Cr.)</t>
  </si>
  <si>
    <t>Base Case — Revenue (₹ Cr.)</t>
  </si>
  <si>
    <t>Bull Case — Revenue (₹ Cr.)</t>
  </si>
  <si>
    <t>Bear Case — EBITDA (₹ Cr.)</t>
  </si>
  <si>
    <t>Base Case — EBITDA (₹ Cr.)</t>
  </si>
  <si>
    <t>Bull Case — EBITDA (₹ Cr.)</t>
  </si>
  <si>
    <t>EBITDA</t>
  </si>
  <si>
    <t>(-) Depreciation &amp; Amort.</t>
  </si>
  <si>
    <t>EBIT</t>
  </si>
  <si>
    <t>(-) Tax on EBIT</t>
  </si>
  <si>
    <t>NOPAT</t>
  </si>
  <si>
    <t>(+) D&amp;A add-back</t>
  </si>
  <si>
    <t>(-) Maintenance Capex</t>
  </si>
  <si>
    <t>(-) Δ Net Working Capital</t>
  </si>
  <si>
    <t>FCFF</t>
  </si>
  <si>
    <t>WACC</t>
  </si>
  <si>
    <t>Metric</t>
  </si>
  <si>
    <t>WACC ↓  /  TGR →</t>
  </si>
  <si>
    <t>TRANSRAILL</t>
  </si>
  <si>
    <t>Transrail Lighting</t>
  </si>
  <si>
    <t>Beta (Levered)</t>
  </si>
  <si>
    <t>Bear Case
(₹ Cr.)</t>
  </si>
  <si>
    <t>Base Case
(₹ Cr.)</t>
  </si>
  <si>
    <t>Bull Case
(₹ Cr.)</t>
  </si>
  <si>
    <t>FY29E EBITDA  (₹ Cr.)</t>
  </si>
  <si>
    <t>PV of Terminal Value  (₹ Cr.)</t>
  </si>
  <si>
    <t>Enterprise Value  (₹ Cr.)</t>
  </si>
  <si>
    <t>(-) Net Debt  (₹ Cr.)</t>
  </si>
  <si>
    <t>Equity Value  (₹ Cr.)</t>
  </si>
  <si>
    <t>Equity Value / Share  (₹)</t>
  </si>
  <si>
    <t>Upside / (Downside)  %</t>
  </si>
  <si>
    <t>Terminal Value  @Multiple× EV/EBITDA  (₹ Cr.)</t>
  </si>
  <si>
    <t>NSE/BSE Ticker</t>
  </si>
  <si>
    <t>Particulars</t>
  </si>
  <si>
    <t>Rf</t>
  </si>
  <si>
    <t>10y Gov Bond</t>
  </si>
  <si>
    <t>Bond default spread</t>
  </si>
  <si>
    <t>Mature market ERP</t>
  </si>
  <si>
    <t>India country risk premium</t>
  </si>
  <si>
    <t>Default spread</t>
  </si>
  <si>
    <t>SD Equity</t>
  </si>
  <si>
    <t>SD Bond</t>
  </si>
  <si>
    <t>India ERP</t>
  </si>
  <si>
    <t>MENA EPR</t>
  </si>
  <si>
    <t>Domestic</t>
  </si>
  <si>
    <t>International</t>
  </si>
  <si>
    <t>ERP</t>
  </si>
  <si>
    <t>Abu Dhabi</t>
  </si>
  <si>
    <t>Bahrain</t>
  </si>
  <si>
    <t>Iraq</t>
  </si>
  <si>
    <t>Israel</t>
  </si>
  <si>
    <t>Kuwait</t>
  </si>
  <si>
    <t>Lebanon</t>
  </si>
  <si>
    <t>Oman</t>
  </si>
  <si>
    <t>Qatar</t>
  </si>
  <si>
    <t>Saudi Arabia</t>
  </si>
  <si>
    <t>United Arab Emirates</t>
  </si>
  <si>
    <t>Algeria</t>
  </si>
  <si>
    <t>Iran</t>
  </si>
  <si>
    <t>Libya</t>
  </si>
  <si>
    <t xml:space="preserve">Jordan </t>
  </si>
  <si>
    <t>Egypt</t>
  </si>
  <si>
    <t>Morocco</t>
  </si>
  <si>
    <t>Tunisia</t>
  </si>
  <si>
    <t>Total ERP</t>
  </si>
  <si>
    <t>Unlevered beta (Sector)</t>
  </si>
  <si>
    <t>KEC International</t>
  </si>
  <si>
    <t>Kalpataru Projects</t>
  </si>
  <si>
    <t xml:space="preserve">Skipper </t>
  </si>
  <si>
    <t>Bajaj electricals</t>
  </si>
  <si>
    <t>Date</t>
  </si>
  <si>
    <t>debt to equity</t>
  </si>
  <si>
    <t>Tax rate</t>
  </si>
  <si>
    <t>unlevered beta</t>
  </si>
  <si>
    <t xml:space="preserve">% Revenue of Total </t>
  </si>
  <si>
    <t>Total weighted avg unlevered beta</t>
  </si>
  <si>
    <t>Target D/E</t>
  </si>
  <si>
    <t>Re-levered beta</t>
  </si>
  <si>
    <t>Cost of equity</t>
  </si>
  <si>
    <t>Middle East Countries</t>
  </si>
  <si>
    <t>North Africa Countries</t>
  </si>
  <si>
    <t>Yemen</t>
  </si>
  <si>
    <t>Face Value</t>
  </si>
  <si>
    <t>Equity capital/FV</t>
  </si>
  <si>
    <t>Long term + Short term</t>
  </si>
  <si>
    <t>Total debt - Cash</t>
  </si>
  <si>
    <t>EV = Market Cap + Net Debt</t>
  </si>
  <si>
    <t>Revenue weighted ERP</t>
  </si>
  <si>
    <t>Revenue sources (%)</t>
  </si>
  <si>
    <t>Pretax cost of debt</t>
  </si>
  <si>
    <t>Facility</t>
  </si>
  <si>
    <t>Rate</t>
  </si>
  <si>
    <t>Weighted cost</t>
  </si>
  <si>
    <t>LT Term Loans</t>
  </si>
  <si>
    <t>ST CC/WCDL</t>
  </si>
  <si>
    <t>FY25 Amount</t>
  </si>
  <si>
    <t>Post tax cost of debt</t>
  </si>
  <si>
    <t>Total Debt (FY26E)</t>
  </si>
  <si>
    <t>Total Equity (FY26E)</t>
  </si>
  <si>
    <t>Bear Case - Revenue Growth %</t>
  </si>
  <si>
    <t>Base Case - Revenue Growth %</t>
  </si>
  <si>
    <t>Bull Case - Revenue Growth %</t>
  </si>
  <si>
    <t>CMP &amp; Company Input</t>
  </si>
  <si>
    <t>Assumptions (Revenue growth &amp; EBITDA Margins)</t>
  </si>
  <si>
    <t>Equity Risk Premium %</t>
  </si>
  <si>
    <t>Risk-free Rate (IN10Y yield-Bond default spread)</t>
  </si>
  <si>
    <t>Terminal growth rate %</t>
  </si>
  <si>
    <t>EV/EBITDA Exit multiple</t>
  </si>
  <si>
    <t>PV of FCFF</t>
  </si>
  <si>
    <t>D&amp;A (₹ Cr.) - FY27E</t>
  </si>
  <si>
    <t>D&amp;A (₹ Cr.) - FY28E</t>
  </si>
  <si>
    <t>D&amp;A (₹ Cr.) - FY29E</t>
  </si>
  <si>
    <t xml:space="preserve"> Capex (₹ Cr.) - FY27E</t>
  </si>
  <si>
    <t xml:space="preserve"> Capex (₹ Cr.) - FY28E</t>
  </si>
  <si>
    <t xml:space="preserve"> Capex (₹ Cr.) - FY29E</t>
  </si>
  <si>
    <t>Δ NWC (₹ Cr.) - FY27E</t>
  </si>
  <si>
    <t>Δ NWC (₹ Cr.) - FY28E</t>
  </si>
  <si>
    <t>Δ NWC (₹ Cr.) - FY29E</t>
  </si>
  <si>
    <t>% return</t>
  </si>
  <si>
    <t>Levered beta</t>
  </si>
  <si>
    <t>Revenue (₹ Cr.)</t>
  </si>
  <si>
    <t>MENA Region ERP</t>
  </si>
  <si>
    <t>Revenue Assumptions  (₹ Cr.)</t>
  </si>
  <si>
    <t>EBITDA Margins Assumptions</t>
  </si>
  <si>
    <t>FCFF / Bridge Assumptions</t>
  </si>
  <si>
    <t>WACC Assumptions</t>
  </si>
  <si>
    <t xml:space="preserve">DCF &amp; Valuation Model  (₹ Cr.)  </t>
  </si>
  <si>
    <t>Revenue Scenarios  (₹ Cr.)</t>
  </si>
  <si>
    <t>EBITDA Bridge - Margin × Revenue  (₹ Cr.)</t>
  </si>
  <si>
    <t>Changes made in "Assumptions" sheet will get reflected here</t>
  </si>
  <si>
    <t>FCFF Waterfall - Bear Case (₹ Cr.)</t>
  </si>
  <si>
    <t>FCFF Waterfall - Base Case (₹ Cr.)</t>
  </si>
  <si>
    <t>FCFF Waterfall - Bull Case (₹ Cr.)</t>
  </si>
  <si>
    <t xml:space="preserve">VALUATION TABLE  — Bear / Base / Bull  (₹ Cr. and ₹ per share) - EV/EBITDA Exit Multiple </t>
  </si>
  <si>
    <t>Implied Equity Value/Share (₹)  Using GGM |  WACC (rows) × Terminal Growth Rate (columns)</t>
  </si>
  <si>
    <t>Base Input (FY26)</t>
  </si>
  <si>
    <t>FY26 Revenue (₹ Cr.)</t>
  </si>
  <si>
    <t>PV of FCFFs  FY27-29  (₹ Cr.)</t>
  </si>
  <si>
    <t>CMP  (₹) - live from CMP Input</t>
  </si>
  <si>
    <t>Equity Capital</t>
  </si>
  <si>
    <t>CNX500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</si>
</sst>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.00;\(#,##0.00\);\-"/>
    <numFmt numFmtId="165" formatCode="0.0%;\-0.0%;&quot;- &quot;"/>
    <numFmt numFmtId="166" formatCode="0.0"/>
    <numFmt numFmtId="167" formatCode="#,##0.0000000000000"/>
    <numFmt numFmtId="168" formatCode="0.00%;\-0.00%;&quot;- &quot;"/>
    <numFmt numFmtId="169" formatCode="0.0%"/>
    <numFmt numFmtId="170" formatCode="0.000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0000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0D5C63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73">
    <xf numFmtId="0" fontId="0" fillId="0" borderId="0" xfId="0"/>
    <xf numFmtId="9" fontId="6" fillId="0" borderId="0" xfId="1" applyFont="1" applyBorder="1" applyAlignment="1">
      <alignment horizontal="center"/>
    </xf>
    <xf numFmtId="165" fontId="2" fillId="7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10" fillId="6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10" fontId="10" fillId="0" borderId="0" xfId="1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9" fontId="8" fillId="0" borderId="0" xfId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0" fontId="11" fillId="7" borderId="0" xfId="0" applyNumberFormat="1" applyFont="1" applyFill="1" applyAlignment="1">
      <alignment horizontal="center" vertical="center"/>
    </xf>
    <xf numFmtId="169" fontId="6" fillId="0" borderId="0" xfId="1" applyNumberFormat="1" applyFont="1" applyAlignment="1">
      <alignment horizontal="center" vertical="center"/>
    </xf>
    <xf numFmtId="0" fontId="10" fillId="6" borderId="0" xfId="1" applyNumberFormat="1" applyFont="1" applyFill="1" applyAlignment="1">
      <alignment horizontal="center" vertical="center"/>
    </xf>
    <xf numFmtId="10" fontId="2" fillId="7" borderId="0" xfId="1" applyNumberFormat="1" applyFont="1" applyFill="1" applyAlignment="1">
      <alignment horizontal="center" vertical="center"/>
    </xf>
    <xf numFmtId="9" fontId="10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2" fontId="10" fillId="6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164" fontId="10" fillId="5" borderId="0" xfId="0" applyNumberFormat="1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0" fontId="6" fillId="0" borderId="0" xfId="1" applyNumberFormat="1" applyFont="1" applyAlignment="1">
      <alignment horizontal="center"/>
    </xf>
    <xf numFmtId="2" fontId="2" fillId="7" borderId="0" xfId="1" applyNumberFormat="1" applyFont="1" applyFill="1" applyAlignment="1">
      <alignment horizontal="center"/>
    </xf>
    <xf numFmtId="10" fontId="6" fillId="7" borderId="0" xfId="1" applyNumberFormat="1" applyFont="1" applyFill="1" applyAlignment="1">
      <alignment horizontal="center"/>
    </xf>
    <xf numFmtId="2" fontId="6" fillId="7" borderId="0" xfId="1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7" borderId="0" xfId="1" applyNumberFormat="1" applyFont="1" applyFill="1" applyAlignment="1">
      <alignment horizontal="center"/>
    </xf>
    <xf numFmtId="10" fontId="10" fillId="7" borderId="0" xfId="1" applyNumberFormat="1" applyFont="1" applyFill="1" applyAlignment="1">
      <alignment horizontal="center"/>
    </xf>
    <xf numFmtId="44" fontId="10" fillId="7" borderId="0" xfId="2" applyFont="1" applyFill="1" applyAlignment="1">
      <alignment horizontal="center" vertical="center"/>
    </xf>
    <xf numFmtId="44" fontId="10" fillId="7" borderId="0" xfId="2" applyFont="1" applyFill="1" applyAlignment="1">
      <alignment horizontal="center"/>
    </xf>
    <xf numFmtId="9" fontId="6" fillId="7" borderId="0" xfId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1" fillId="7" borderId="0" xfId="0" applyNumberFormat="1" applyFont="1" applyFill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69" fontId="12" fillId="6" borderId="0" xfId="0" applyNumberFormat="1" applyFont="1" applyFill="1" applyAlignment="1">
      <alignment horizontal="center" vertical="center"/>
    </xf>
    <xf numFmtId="14" fontId="16" fillId="0" borderId="0" xfId="0" applyNumberFormat="1" applyFont="1"/>
    <xf numFmtId="43" fontId="16" fillId="0" borderId="0" xfId="3" applyFont="1"/>
    <xf numFmtId="2" fontId="16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/>
    </xf>
    <xf numFmtId="2" fontId="2" fillId="7" borderId="0" xfId="1" applyNumberFormat="1" applyFont="1" applyFill="1" applyAlignment="1">
      <alignment horizont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2"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5C63"/>
      <rgbColor rgb="FFC0C0C0"/>
      <rgbColor rgb="FF808080"/>
      <rgbColor rgb="FF9999FF"/>
      <rgbColor rgb="FF993366"/>
      <rgbColor rgb="FFFFF2CC"/>
      <rgbColor rgb="FFE8F4F5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27</xdr:row>
      <xdr:rowOff>0</xdr:rowOff>
    </xdr:from>
    <xdr:to>
      <xdr:col>9</xdr:col>
      <xdr:colOff>304800</xdr:colOff>
      <xdr:row>28</xdr:row>
      <xdr:rowOff>130026</xdr:rowOff>
    </xdr:to>
    <xdr:sp macro="" textlink="">
      <xdr:nvSpPr>
        <xdr:cNvPr id="2051" name="AutoShape 3" descr="Estimated default spreads by credit rating">
          <a:extLst>
            <a:ext uri="{FF2B5EF4-FFF2-40B4-BE49-F238E27FC236}">
              <a16:creationId xmlns:a16="http://schemas.microsoft.com/office/drawing/2014/main" id="{DBF3EA6D-1176-165D-39AD-32354A429421}"/>
            </a:ext>
          </a:extLst>
        </xdr:cNvPr>
        <xdr:cNvSpPr>
          <a:spLocks noChangeAspect="1" noChangeArrowheads="1"/>
        </xdr:cNvSpPr>
      </xdr:nvSpPr>
      <xdr:spPr bwMode="auto">
        <a:xfrm>
          <a:off x="8625840" y="493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imit Shah" id="{AE3CC418-49F0-4084-B8E2-0B31DAD9EEC0}" userId="02d5c67f838118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3" dT="2026-05-14T16:08:21.58" personId="{AE3CC418-49F0-4084-B8E2-0B31DAD9EEC0}" id="{C3BE5A5D-1D32-4098-9D3D-0CD2001E2BF2}">
    <text>Taken a general average of all countries ERP as no specific per country revenue figures available
Safest assumption is a general average</text>
  </threadedComment>
  <threadedComment ref="I17" dT="2026-05-14T16:08:12.21" personId="{AE3CC418-49F0-4084-B8E2-0B31DAD9EEC0}" id="{1B62757F-E698-4B14-9CD9-EB7089CD2CD9}">
    <text>Taken a general average of all countries ERP as no specific per country revenue figures available
Safest assumption is a general average</text>
  </threadedComment>
  <threadedComment ref="F23" dT="2026-05-14T12:46:30.54" personId="{AE3CC418-49F0-4084-B8E2-0B31DAD9EEC0}" id="{C8C41152-A381-441A-8E09-BE73F35C132B}">
    <text xml:space="preserve">ECLGS loans carry an interest rate ranging from 7.95% to 9.25% </text>
  </threadedComment>
  <threadedComment ref="D24" dT="2026-05-14T12:43:15.20" personId="{AE3CC418-49F0-4084-B8E2-0B31DAD9EEC0}" id="{2D61F417-7FED-46E3-A656-2E1041A19E9F}">
    <text xml:space="preserve">Cash Credit , Working Capital Demand Loan </text>
  </threadedComment>
  <threadedComment ref="F24" dT="2026-05-14T12:46:41.94" personId="{AE3CC418-49F0-4084-B8E2-0B31DAD9EEC0}" id="{94E49853-4D1B-44BA-A3B4-0BE346AC0A9A}">
    <text xml:space="preserve">Cash credit facility &amp; WCDL carries an interest rate ranging from 10.15% to 12.45%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"/>
  <sheetViews>
    <sheetView topLeftCell="A72" zoomScale="107" zoomScaleNormal="126" workbookViewId="0">
      <selection activeCell="B84" sqref="B84"/>
    </sheetView>
  </sheetViews>
  <sheetFormatPr defaultColWidth="8.6640625" defaultRowHeight="13.8" x14ac:dyDescent="0.3"/>
  <cols>
    <col min="1" max="1" width="41.88671875" style="12" bestFit="1" customWidth="1"/>
    <col min="2" max="2" width="18" style="12" customWidth="1"/>
    <col min="3" max="3" width="23.6640625" style="12" bestFit="1" customWidth="1"/>
    <col min="4" max="4" width="9.33203125" style="12" bestFit="1" customWidth="1"/>
    <col min="5" max="6" width="9" style="12" bestFit="1" customWidth="1"/>
    <col min="7" max="7" width="20.77734375" style="12" bestFit="1" customWidth="1"/>
    <col min="8" max="8" width="13.5546875" style="12" bestFit="1" customWidth="1"/>
    <col min="9" max="12" width="8.6640625" style="12"/>
    <col min="13" max="13" width="20.77734375" style="12" bestFit="1" customWidth="1"/>
    <col min="14" max="16384" width="8.6640625" style="12"/>
  </cols>
  <sheetData>
    <row r="1" spans="1:5" ht="27.75" customHeight="1" x14ac:dyDescent="0.3">
      <c r="A1" s="69" t="s">
        <v>132</v>
      </c>
      <c r="B1" s="69"/>
      <c r="C1" s="69"/>
    </row>
    <row r="2" spans="1:5" ht="15" customHeight="1" x14ac:dyDescent="0.3">
      <c r="A2" s="4" t="s">
        <v>0</v>
      </c>
      <c r="B2" s="4" t="s">
        <v>1</v>
      </c>
      <c r="C2" s="4" t="s">
        <v>2</v>
      </c>
    </row>
    <row r="3" spans="1:5" ht="15" customHeight="1" x14ac:dyDescent="0.3">
      <c r="A3" s="13" t="s">
        <v>3</v>
      </c>
      <c r="B3" s="37" t="s">
        <v>49</v>
      </c>
      <c r="C3" s="38"/>
    </row>
    <row r="4" spans="1:5" ht="15" customHeight="1" x14ac:dyDescent="0.3">
      <c r="A4" s="13" t="s">
        <v>62</v>
      </c>
      <c r="B4" s="37" t="s">
        <v>48</v>
      </c>
      <c r="C4" s="38"/>
    </row>
    <row r="5" spans="1:5" ht="15" customHeight="1" x14ac:dyDescent="0.3">
      <c r="A5" s="13" t="s">
        <v>112</v>
      </c>
      <c r="B5" s="37">
        <v>2</v>
      </c>
      <c r="C5" s="38"/>
    </row>
    <row r="6" spans="1:5" ht="15" customHeight="1" x14ac:dyDescent="0.3">
      <c r="A6" s="13" t="s">
        <v>169</v>
      </c>
      <c r="B6" s="37">
        <v>26.85</v>
      </c>
      <c r="C6" s="38"/>
    </row>
    <row r="7" spans="1:5" ht="15" customHeight="1" x14ac:dyDescent="0.3">
      <c r="A7" s="13" t="s">
        <v>4</v>
      </c>
      <c r="B7" s="61">
        <f>B6/B5</f>
        <v>13.425000000000001</v>
      </c>
      <c r="C7" s="59" t="s">
        <v>113</v>
      </c>
    </row>
    <row r="8" spans="1:5" ht="15" customHeight="1" x14ac:dyDescent="0.3">
      <c r="A8" s="13" t="s">
        <v>5</v>
      </c>
      <c r="B8" s="37">
        <v>481.7</v>
      </c>
      <c r="C8" s="59" t="s">
        <v>6</v>
      </c>
    </row>
    <row r="9" spans="1:5" ht="15" customHeight="1" x14ac:dyDescent="0.3">
      <c r="A9" s="13" t="s">
        <v>7</v>
      </c>
      <c r="B9" s="13">
        <f>B8*B7</f>
        <v>6466.8225000000002</v>
      </c>
      <c r="C9" s="59"/>
    </row>
    <row r="10" spans="1:5" ht="15" customHeight="1" x14ac:dyDescent="0.3">
      <c r="A10" s="13" t="s">
        <v>8</v>
      </c>
      <c r="B10" s="37">
        <v>678</v>
      </c>
      <c r="C10" s="59" t="s">
        <v>114</v>
      </c>
    </row>
    <row r="11" spans="1:5" ht="15" customHeight="1" x14ac:dyDescent="0.3">
      <c r="A11" s="13" t="s">
        <v>10</v>
      </c>
      <c r="B11" s="37">
        <v>763</v>
      </c>
      <c r="C11" s="59" t="s">
        <v>9</v>
      </c>
    </row>
    <row r="12" spans="1:5" ht="15" customHeight="1" x14ac:dyDescent="0.3">
      <c r="A12" s="13" t="s">
        <v>11</v>
      </c>
      <c r="B12" s="13">
        <f>B10-B11</f>
        <v>-85</v>
      </c>
      <c r="C12" s="59" t="s">
        <v>115</v>
      </c>
    </row>
    <row r="13" spans="1:5" ht="15" customHeight="1" x14ac:dyDescent="0.3">
      <c r="A13" s="13" t="s">
        <v>12</v>
      </c>
      <c r="B13" s="13">
        <f>B9+B12</f>
        <v>6381.8225000000002</v>
      </c>
      <c r="C13" s="59" t="s">
        <v>116</v>
      </c>
    </row>
    <row r="15" spans="1:5" x14ac:dyDescent="0.3">
      <c r="B15" s="39"/>
    </row>
    <row r="16" spans="1:5" x14ac:dyDescent="0.3">
      <c r="A16" s="69" t="s">
        <v>133</v>
      </c>
      <c r="B16" s="69"/>
      <c r="C16" s="69"/>
      <c r="D16" s="69"/>
      <c r="E16" s="69"/>
    </row>
    <row r="17" spans="1:5" x14ac:dyDescent="0.3">
      <c r="A17" s="4" t="s">
        <v>13</v>
      </c>
      <c r="B17" s="4" t="s">
        <v>165</v>
      </c>
      <c r="C17" s="4" t="s">
        <v>14</v>
      </c>
      <c r="D17" s="4" t="s">
        <v>15</v>
      </c>
      <c r="E17" s="4" t="s">
        <v>16</v>
      </c>
    </row>
    <row r="18" spans="1:5" x14ac:dyDescent="0.3">
      <c r="A18" s="67" t="s">
        <v>152</v>
      </c>
      <c r="B18" s="67"/>
      <c r="C18" s="67"/>
      <c r="D18" s="67"/>
      <c r="E18" s="67"/>
    </row>
    <row r="19" spans="1:5" x14ac:dyDescent="0.3">
      <c r="A19" s="14" t="s">
        <v>166</v>
      </c>
      <c r="B19" s="40">
        <v>6880</v>
      </c>
    </row>
    <row r="20" spans="1:5" x14ac:dyDescent="0.3">
      <c r="A20" s="13" t="s">
        <v>129</v>
      </c>
      <c r="C20" s="41">
        <v>0.18</v>
      </c>
      <c r="D20" s="41">
        <v>0.16</v>
      </c>
      <c r="E20" s="41">
        <v>0.14000000000000001</v>
      </c>
    </row>
    <row r="21" spans="1:5" x14ac:dyDescent="0.3">
      <c r="A21" s="13" t="s">
        <v>130</v>
      </c>
      <c r="C21" s="41">
        <v>0.2</v>
      </c>
      <c r="D21" s="41">
        <v>0.18</v>
      </c>
      <c r="E21" s="41">
        <v>0.16</v>
      </c>
    </row>
    <row r="22" spans="1:5" x14ac:dyDescent="0.3">
      <c r="A22" s="42" t="s">
        <v>131</v>
      </c>
      <c r="C22" s="41">
        <v>0.22</v>
      </c>
      <c r="D22" s="41">
        <v>0.2</v>
      </c>
      <c r="E22" s="41">
        <v>0.18</v>
      </c>
    </row>
    <row r="23" spans="1:5" x14ac:dyDescent="0.3">
      <c r="A23" s="67" t="s">
        <v>153</v>
      </c>
      <c r="B23" s="67"/>
      <c r="C23" s="67"/>
      <c r="D23" s="67"/>
      <c r="E23" s="67"/>
    </row>
    <row r="24" spans="1:5" x14ac:dyDescent="0.3">
      <c r="A24" s="13" t="s">
        <v>20</v>
      </c>
      <c r="C24" s="41">
        <v>0.105</v>
      </c>
      <c r="D24" s="41">
        <v>0.105</v>
      </c>
      <c r="E24" s="41">
        <v>0.105</v>
      </c>
    </row>
    <row r="25" spans="1:5" x14ac:dyDescent="0.3">
      <c r="A25" s="13" t="s">
        <v>21</v>
      </c>
      <c r="C25" s="41">
        <v>0.115</v>
      </c>
      <c r="D25" s="41">
        <v>0.11600000000000001</v>
      </c>
      <c r="E25" s="41">
        <v>0.11700000000000001</v>
      </c>
    </row>
    <row r="26" spans="1:5" x14ac:dyDescent="0.3">
      <c r="A26" s="13" t="s">
        <v>22</v>
      </c>
      <c r="C26" s="41">
        <v>0.125</v>
      </c>
      <c r="D26" s="41">
        <v>0.125</v>
      </c>
      <c r="E26" s="41">
        <v>0.125</v>
      </c>
    </row>
    <row r="27" spans="1:5" x14ac:dyDescent="0.3">
      <c r="A27" s="67" t="s">
        <v>154</v>
      </c>
      <c r="B27" s="67"/>
    </row>
    <row r="28" spans="1:5" x14ac:dyDescent="0.3">
      <c r="A28" s="13" t="s">
        <v>23</v>
      </c>
      <c r="B28" s="43">
        <f>Assumptions!B17</f>
        <v>0.25169999999999998</v>
      </c>
    </row>
    <row r="29" spans="1:5" x14ac:dyDescent="0.3">
      <c r="A29" s="13" t="s">
        <v>139</v>
      </c>
      <c r="B29" s="40">
        <v>78.599999999999994</v>
      </c>
    </row>
    <row r="30" spans="1:5" x14ac:dyDescent="0.3">
      <c r="A30" s="13" t="s">
        <v>140</v>
      </c>
      <c r="B30" s="40">
        <v>107.1</v>
      </c>
    </row>
    <row r="31" spans="1:5" x14ac:dyDescent="0.3">
      <c r="A31" s="13" t="s">
        <v>141</v>
      </c>
      <c r="B31" s="40">
        <v>120.9</v>
      </c>
    </row>
    <row r="32" spans="1:5" x14ac:dyDescent="0.3">
      <c r="A32" s="13" t="s">
        <v>142</v>
      </c>
      <c r="B32" s="40">
        <v>185</v>
      </c>
    </row>
    <row r="33" spans="1:6" x14ac:dyDescent="0.3">
      <c r="A33" s="13" t="s">
        <v>143</v>
      </c>
      <c r="B33" s="40">
        <v>209</v>
      </c>
    </row>
    <row r="34" spans="1:6" x14ac:dyDescent="0.3">
      <c r="A34" s="13" t="s">
        <v>144</v>
      </c>
      <c r="B34" s="40">
        <v>192.8</v>
      </c>
    </row>
    <row r="35" spans="1:6" x14ac:dyDescent="0.3">
      <c r="A35" s="13" t="s">
        <v>145</v>
      </c>
      <c r="B35" s="40">
        <v>186.5</v>
      </c>
    </row>
    <row r="36" spans="1:6" x14ac:dyDescent="0.3">
      <c r="A36" s="13" t="s">
        <v>146</v>
      </c>
      <c r="B36" s="40">
        <v>337.2</v>
      </c>
    </row>
    <row r="37" spans="1:6" x14ac:dyDescent="0.3">
      <c r="A37" s="13" t="s">
        <v>147</v>
      </c>
      <c r="B37" s="40">
        <v>471.3</v>
      </c>
    </row>
    <row r="38" spans="1:6" x14ac:dyDescent="0.3">
      <c r="A38" s="67" t="s">
        <v>155</v>
      </c>
      <c r="B38" s="67"/>
      <c r="C38" s="67"/>
    </row>
    <row r="39" spans="1:6" ht="14.4" customHeight="1" x14ac:dyDescent="0.3">
      <c r="A39" s="13" t="s">
        <v>135</v>
      </c>
      <c r="B39" s="43">
        <f>Assumptions!B4</f>
        <v>5.6499999999999995E-2</v>
      </c>
      <c r="C39" s="70" t="s">
        <v>159</v>
      </c>
      <c r="D39" s="19"/>
      <c r="E39" s="19"/>
      <c r="F39" s="19"/>
    </row>
    <row r="40" spans="1:6" x14ac:dyDescent="0.3">
      <c r="A40" s="13" t="s">
        <v>134</v>
      </c>
      <c r="B40" s="43">
        <f>Assumptions!B13</f>
        <v>0.1226680258471306</v>
      </c>
      <c r="C40" s="70"/>
      <c r="D40" s="19"/>
      <c r="E40" s="19"/>
      <c r="F40" s="19"/>
    </row>
    <row r="41" spans="1:6" x14ac:dyDescent="0.3">
      <c r="A41" s="13" t="s">
        <v>50</v>
      </c>
      <c r="B41" s="27">
        <f>Assumptions!B18</f>
        <v>0.86800958510193116</v>
      </c>
      <c r="C41" s="70"/>
      <c r="D41" s="19"/>
      <c r="E41" s="19"/>
      <c r="F41" s="19"/>
    </row>
    <row r="42" spans="1:6" x14ac:dyDescent="0.3">
      <c r="A42" s="13" t="s">
        <v>24</v>
      </c>
      <c r="B42" s="44">
        <f>Assumptions!B22</f>
        <v>0.10516552922724767</v>
      </c>
      <c r="C42" s="70"/>
      <c r="D42" s="19"/>
      <c r="E42" s="19"/>
      <c r="F42" s="19"/>
    </row>
    <row r="43" spans="1:6" x14ac:dyDescent="0.3">
      <c r="A43" s="13" t="s">
        <v>25</v>
      </c>
      <c r="B43" s="43">
        <f>Assumptions!B23</f>
        <v>0.25169999999999998</v>
      </c>
      <c r="C43" s="70"/>
      <c r="D43" s="19"/>
      <c r="E43" s="19"/>
      <c r="F43" s="19"/>
    </row>
    <row r="44" spans="1:6" x14ac:dyDescent="0.3">
      <c r="A44" s="13" t="s">
        <v>26</v>
      </c>
      <c r="B44" s="45">
        <f>Assumptions!B27</f>
        <v>2281</v>
      </c>
      <c r="C44" s="70"/>
      <c r="D44" s="19"/>
      <c r="E44" s="19"/>
      <c r="F44" s="19"/>
    </row>
    <row r="45" spans="1:6" x14ac:dyDescent="0.3">
      <c r="A45" s="13" t="s">
        <v>8</v>
      </c>
      <c r="B45" s="45">
        <f>Assumptions!B26</f>
        <v>678</v>
      </c>
      <c r="C45" s="70"/>
      <c r="D45" s="19"/>
      <c r="E45" s="19"/>
      <c r="F45" s="19"/>
    </row>
    <row r="46" spans="1:6" x14ac:dyDescent="0.3">
      <c r="A46" s="13" t="s">
        <v>45</v>
      </c>
      <c r="B46" s="25">
        <f>Assumptions!B29</f>
        <v>0.14366544288908617</v>
      </c>
      <c r="C46" s="70"/>
      <c r="D46" s="19"/>
      <c r="E46" s="19"/>
      <c r="F46" s="19"/>
    </row>
    <row r="47" spans="1:6" x14ac:dyDescent="0.3">
      <c r="A47" s="13" t="s">
        <v>27</v>
      </c>
      <c r="B47" s="44">
        <f>Assumptions!B31</f>
        <v>4.4999999999999998E-2</v>
      </c>
      <c r="C47" s="70"/>
      <c r="D47" s="19"/>
      <c r="E47" s="19"/>
      <c r="F47" s="19"/>
    </row>
    <row r="48" spans="1:6" x14ac:dyDescent="0.3">
      <c r="A48" s="13" t="s">
        <v>28</v>
      </c>
      <c r="B48" s="46">
        <f>Assumptions!B33</f>
        <v>9</v>
      </c>
      <c r="C48" s="70"/>
    </row>
    <row r="50" spans="1:5" x14ac:dyDescent="0.3">
      <c r="A50" s="69" t="s">
        <v>156</v>
      </c>
      <c r="B50" s="69"/>
      <c r="C50" s="69"/>
      <c r="D50" s="69"/>
      <c r="E50" s="69"/>
    </row>
    <row r="51" spans="1:5" x14ac:dyDescent="0.3">
      <c r="A51" s="4"/>
      <c r="B51" s="4" t="s">
        <v>29</v>
      </c>
      <c r="C51" s="4" t="s">
        <v>14</v>
      </c>
      <c r="D51" s="4" t="s">
        <v>15</v>
      </c>
      <c r="E51" s="4" t="s">
        <v>16</v>
      </c>
    </row>
    <row r="52" spans="1:5" x14ac:dyDescent="0.3">
      <c r="A52" s="67" t="s">
        <v>157</v>
      </c>
      <c r="B52" s="67"/>
      <c r="C52" s="67"/>
      <c r="D52" s="67"/>
      <c r="E52" s="67"/>
    </row>
    <row r="53" spans="1:5" x14ac:dyDescent="0.3">
      <c r="A53" s="13" t="s">
        <v>17</v>
      </c>
      <c r="C53" s="8">
        <f>'DCF &amp; Valuation'!C20</f>
        <v>0.18</v>
      </c>
      <c r="D53" s="8">
        <f>'DCF &amp; Valuation'!D20</f>
        <v>0.16</v>
      </c>
      <c r="E53" s="8">
        <f>'DCF &amp; Valuation'!E20</f>
        <v>0.14000000000000001</v>
      </c>
    </row>
    <row r="54" spans="1:5" x14ac:dyDescent="0.3">
      <c r="A54" s="14" t="s">
        <v>18</v>
      </c>
      <c r="C54" s="9">
        <f>'DCF &amp; Valuation'!C21</f>
        <v>0.2</v>
      </c>
      <c r="D54" s="9">
        <f>'DCF &amp; Valuation'!D21</f>
        <v>0.18</v>
      </c>
      <c r="E54" s="9">
        <f>'DCF &amp; Valuation'!E21</f>
        <v>0.16</v>
      </c>
    </row>
    <row r="55" spans="1:5" x14ac:dyDescent="0.3">
      <c r="A55" s="13" t="s">
        <v>19</v>
      </c>
      <c r="C55" s="8">
        <f>'DCF &amp; Valuation'!C22</f>
        <v>0.22</v>
      </c>
      <c r="D55" s="8">
        <f>'DCF &amp; Valuation'!D22</f>
        <v>0.2</v>
      </c>
      <c r="E55" s="8">
        <f>'DCF &amp; Valuation'!E22</f>
        <v>0.18</v>
      </c>
    </row>
    <row r="56" spans="1:5" x14ac:dyDescent="0.3">
      <c r="A56" s="13" t="s">
        <v>30</v>
      </c>
      <c r="B56" s="3">
        <f>'DCF &amp; Valuation'!B19</f>
        <v>6880</v>
      </c>
      <c r="C56" s="3">
        <f t="shared" ref="C56:E58" si="0">B56*(1+C53)</f>
        <v>8118.4</v>
      </c>
      <c r="D56" s="3">
        <f t="shared" si="0"/>
        <v>9417.3439999999991</v>
      </c>
      <c r="E56" s="3">
        <f t="shared" si="0"/>
        <v>10735.77216</v>
      </c>
    </row>
    <row r="57" spans="1:5" x14ac:dyDescent="0.3">
      <c r="A57" s="14" t="s">
        <v>31</v>
      </c>
      <c r="B57" s="10">
        <f>'DCF &amp; Valuation'!B19</f>
        <v>6880</v>
      </c>
      <c r="C57" s="10">
        <f t="shared" si="0"/>
        <v>8256</v>
      </c>
      <c r="D57" s="10">
        <f t="shared" si="0"/>
        <v>9742.08</v>
      </c>
      <c r="E57" s="10">
        <f t="shared" si="0"/>
        <v>11300.8128</v>
      </c>
    </row>
    <row r="58" spans="1:5" x14ac:dyDescent="0.3">
      <c r="A58" s="13" t="s">
        <v>32</v>
      </c>
      <c r="B58" s="3">
        <f>'DCF &amp; Valuation'!B19</f>
        <v>6880</v>
      </c>
      <c r="C58" s="3">
        <f t="shared" si="0"/>
        <v>8393.6</v>
      </c>
      <c r="D58" s="3">
        <f t="shared" si="0"/>
        <v>10072.32</v>
      </c>
      <c r="E58" s="3">
        <f t="shared" si="0"/>
        <v>11885.337599999999</v>
      </c>
    </row>
    <row r="60" spans="1:5" x14ac:dyDescent="0.3">
      <c r="A60" s="67" t="s">
        <v>158</v>
      </c>
      <c r="B60" s="67"/>
      <c r="C60" s="4" t="s">
        <v>14</v>
      </c>
      <c r="D60" s="4" t="s">
        <v>15</v>
      </c>
      <c r="E60" s="4" t="s">
        <v>16</v>
      </c>
    </row>
    <row r="61" spans="1:5" x14ac:dyDescent="0.3">
      <c r="A61" s="13" t="s">
        <v>20</v>
      </c>
      <c r="C61" s="8">
        <f>'DCF &amp; Valuation'!C24</f>
        <v>0.105</v>
      </c>
      <c r="D61" s="8">
        <f>'DCF &amp; Valuation'!D24</f>
        <v>0.105</v>
      </c>
      <c r="E61" s="8">
        <f>'DCF &amp; Valuation'!E24</f>
        <v>0.105</v>
      </c>
    </row>
    <row r="62" spans="1:5" x14ac:dyDescent="0.3">
      <c r="A62" s="14" t="s">
        <v>21</v>
      </c>
      <c r="C62" s="9">
        <f>'DCF &amp; Valuation'!C25</f>
        <v>0.115</v>
      </c>
      <c r="D62" s="9">
        <f>'DCF &amp; Valuation'!D25</f>
        <v>0.11600000000000001</v>
      </c>
      <c r="E62" s="9">
        <f>'DCF &amp; Valuation'!E25</f>
        <v>0.11700000000000001</v>
      </c>
    </row>
    <row r="63" spans="1:5" x14ac:dyDescent="0.3">
      <c r="A63" s="13" t="s">
        <v>22</v>
      </c>
      <c r="C63" s="8">
        <f>'DCF &amp; Valuation'!C26</f>
        <v>0.125</v>
      </c>
      <c r="D63" s="8">
        <f>'DCF &amp; Valuation'!D26</f>
        <v>0.125</v>
      </c>
      <c r="E63" s="8">
        <f>'DCF &amp; Valuation'!E26</f>
        <v>0.125</v>
      </c>
    </row>
    <row r="64" spans="1:5" x14ac:dyDescent="0.3">
      <c r="A64" s="13" t="s">
        <v>33</v>
      </c>
      <c r="C64" s="3">
        <f t="shared" ref="C64:E66" si="1">C56*C61</f>
        <v>852.4319999999999</v>
      </c>
      <c r="D64" s="3">
        <f t="shared" si="1"/>
        <v>988.82111999999984</v>
      </c>
      <c r="E64" s="3">
        <f t="shared" si="1"/>
        <v>1127.2560768000001</v>
      </c>
    </row>
    <row r="65" spans="1:17" x14ac:dyDescent="0.3">
      <c r="A65" s="14" t="s">
        <v>34</v>
      </c>
      <c r="C65" s="10">
        <f t="shared" si="1"/>
        <v>949.44</v>
      </c>
      <c r="D65" s="10">
        <f t="shared" si="1"/>
        <v>1130.0812800000001</v>
      </c>
      <c r="E65" s="10">
        <f t="shared" si="1"/>
        <v>1322.1950976000001</v>
      </c>
    </row>
    <row r="66" spans="1:17" x14ac:dyDescent="0.3">
      <c r="A66" s="13" t="s">
        <v>35</v>
      </c>
      <c r="C66" s="3">
        <f t="shared" si="1"/>
        <v>1049.2</v>
      </c>
      <c r="D66" s="3">
        <f t="shared" si="1"/>
        <v>1259.04</v>
      </c>
      <c r="E66" s="3">
        <f t="shared" si="1"/>
        <v>1485.6671999999999</v>
      </c>
    </row>
    <row r="68" spans="1:17" x14ac:dyDescent="0.3">
      <c r="A68" s="67" t="s">
        <v>161</v>
      </c>
      <c r="B68" s="67"/>
      <c r="C68" s="4" t="s">
        <v>14</v>
      </c>
      <c r="D68" s="4" t="s">
        <v>15</v>
      </c>
      <c r="E68" s="4" t="s">
        <v>16</v>
      </c>
      <c r="G68" s="67" t="s">
        <v>160</v>
      </c>
      <c r="H68" s="67"/>
      <c r="I68" s="4" t="s">
        <v>14</v>
      </c>
      <c r="J68" s="4" t="s">
        <v>15</v>
      </c>
      <c r="K68" s="4" t="s">
        <v>16</v>
      </c>
      <c r="M68" s="67" t="s">
        <v>162</v>
      </c>
      <c r="N68" s="67"/>
      <c r="O68" s="4" t="s">
        <v>14</v>
      </c>
      <c r="P68" s="4" t="s">
        <v>15</v>
      </c>
      <c r="Q68" s="4" t="s">
        <v>16</v>
      </c>
    </row>
    <row r="69" spans="1:17" x14ac:dyDescent="0.3">
      <c r="A69" s="15" t="s">
        <v>36</v>
      </c>
      <c r="B69" s="16"/>
      <c r="C69" s="5">
        <f>C65</f>
        <v>949.44</v>
      </c>
      <c r="D69" s="5">
        <f>D65</f>
        <v>1130.0812800000001</v>
      </c>
      <c r="E69" s="5">
        <f>E65</f>
        <v>1322.1950976000001</v>
      </c>
      <c r="G69" s="15" t="s">
        <v>36</v>
      </c>
      <c r="H69" s="16"/>
      <c r="I69" s="5">
        <f>C64</f>
        <v>852.4319999999999</v>
      </c>
      <c r="J69" s="5">
        <f t="shared" ref="J69:K69" si="2">D64</f>
        <v>988.82111999999984</v>
      </c>
      <c r="K69" s="5">
        <f t="shared" si="2"/>
        <v>1127.2560768000001</v>
      </c>
      <c r="M69" s="15" t="s">
        <v>36</v>
      </c>
      <c r="N69" s="16"/>
      <c r="O69" s="5">
        <f>C66</f>
        <v>1049.2</v>
      </c>
      <c r="P69" s="5">
        <f t="shared" ref="P69:Q69" si="3">D66</f>
        <v>1259.04</v>
      </c>
      <c r="Q69" s="5">
        <f t="shared" si="3"/>
        <v>1485.6671999999999</v>
      </c>
    </row>
    <row r="70" spans="1:17" x14ac:dyDescent="0.3">
      <c r="A70" s="13" t="s">
        <v>37</v>
      </c>
      <c r="C70" s="3">
        <f>'DCF &amp; Valuation'!B29</f>
        <v>78.599999999999994</v>
      </c>
      <c r="D70" s="3">
        <f>'DCF &amp; Valuation'!B30</f>
        <v>107.1</v>
      </c>
      <c r="E70" s="3">
        <f>'DCF &amp; Valuation'!B31</f>
        <v>120.9</v>
      </c>
      <c r="G70" s="13" t="s">
        <v>37</v>
      </c>
      <c r="I70" s="3">
        <f>B29</f>
        <v>78.599999999999994</v>
      </c>
      <c r="J70" s="3">
        <f>B30</f>
        <v>107.1</v>
      </c>
      <c r="K70" s="3">
        <f>B31</f>
        <v>120.9</v>
      </c>
      <c r="M70" s="13" t="s">
        <v>37</v>
      </c>
      <c r="O70" s="3">
        <f>B29</f>
        <v>78.599999999999994</v>
      </c>
      <c r="P70" s="3">
        <f>B30</f>
        <v>107.1</v>
      </c>
      <c r="Q70" s="3">
        <f>B31</f>
        <v>120.9</v>
      </c>
    </row>
    <row r="71" spans="1:17" x14ac:dyDescent="0.3">
      <c r="A71" s="15" t="s">
        <v>38</v>
      </c>
      <c r="B71" s="16"/>
      <c r="C71" s="5">
        <f>C69-C70</f>
        <v>870.84</v>
      </c>
      <c r="D71" s="5">
        <f>D69-D70</f>
        <v>1022.9812800000001</v>
      </c>
      <c r="E71" s="5">
        <f>E69-E70</f>
        <v>1201.2950976</v>
      </c>
      <c r="G71" s="15" t="s">
        <v>38</v>
      </c>
      <c r="H71" s="16"/>
      <c r="I71" s="5">
        <f>I69-I70</f>
        <v>773.83199999999988</v>
      </c>
      <c r="J71" s="5">
        <f>J69-J70</f>
        <v>881.72111999999981</v>
      </c>
      <c r="K71" s="5">
        <f>K69-K70</f>
        <v>1006.3560768000001</v>
      </c>
      <c r="M71" s="15" t="s">
        <v>38</v>
      </c>
      <c r="N71" s="16"/>
      <c r="O71" s="5">
        <f>O69-O70</f>
        <v>970.6</v>
      </c>
      <c r="P71" s="5">
        <f>P69-P70</f>
        <v>1151.94</v>
      </c>
      <c r="Q71" s="5">
        <f>Q69-Q70</f>
        <v>1364.7671999999998</v>
      </c>
    </row>
    <row r="72" spans="1:17" x14ac:dyDescent="0.3">
      <c r="A72" s="13" t="s">
        <v>39</v>
      </c>
      <c r="C72" s="3">
        <f>C71*$B$28</f>
        <v>219.190428</v>
      </c>
      <c r="D72" s="3">
        <f t="shared" ref="D72:E72" si="4">D71*$B$28</f>
        <v>257.48438817599998</v>
      </c>
      <c r="E72" s="3">
        <f t="shared" si="4"/>
        <v>302.36597606591994</v>
      </c>
      <c r="G72" s="13" t="s">
        <v>39</v>
      </c>
      <c r="I72" s="3">
        <f>I71*$B$28</f>
        <v>194.77351439999995</v>
      </c>
      <c r="J72" s="3">
        <f t="shared" ref="J72:K72" si="5">J71*$B$28</f>
        <v>221.92920590399993</v>
      </c>
      <c r="K72" s="3">
        <f t="shared" si="5"/>
        <v>253.29982453056002</v>
      </c>
      <c r="M72" s="13" t="s">
        <v>39</v>
      </c>
      <c r="O72" s="3">
        <f>O71*$B$28</f>
        <v>244.30001999999999</v>
      </c>
      <c r="P72" s="3">
        <f t="shared" ref="P72:Q72" si="6">P71*$B$28</f>
        <v>289.94329799999997</v>
      </c>
      <c r="Q72" s="3">
        <f t="shared" si="6"/>
        <v>343.51190423999992</v>
      </c>
    </row>
    <row r="73" spans="1:17" x14ac:dyDescent="0.3">
      <c r="A73" s="17" t="s">
        <v>40</v>
      </c>
      <c r="B73" s="16"/>
      <c r="C73" s="6">
        <f>C71-C72</f>
        <v>651.64957200000003</v>
      </c>
      <c r="D73" s="6">
        <f>D71-D72</f>
        <v>765.49689182400016</v>
      </c>
      <c r="E73" s="6">
        <f>E71-E72</f>
        <v>898.92912153407997</v>
      </c>
      <c r="G73" s="17" t="s">
        <v>40</v>
      </c>
      <c r="H73" s="16"/>
      <c r="I73" s="6">
        <f>I71-I72</f>
        <v>579.05848559999993</v>
      </c>
      <c r="J73" s="6">
        <f>J71-J72</f>
        <v>659.79191409599991</v>
      </c>
      <c r="K73" s="6">
        <f>K71-K72</f>
        <v>753.05625226944005</v>
      </c>
      <c r="M73" s="17" t="s">
        <v>40</v>
      </c>
      <c r="N73" s="16"/>
      <c r="O73" s="6">
        <f>O71-O72</f>
        <v>726.29998000000001</v>
      </c>
      <c r="P73" s="6">
        <f>P71-P72</f>
        <v>861.99670200000014</v>
      </c>
      <c r="Q73" s="6">
        <f>Q71-Q72</f>
        <v>1021.2552957599999</v>
      </c>
    </row>
    <row r="74" spans="1:17" x14ac:dyDescent="0.3">
      <c r="A74" s="13" t="s">
        <v>41</v>
      </c>
      <c r="C74" s="3">
        <f>C70</f>
        <v>78.599999999999994</v>
      </c>
      <c r="D74" s="3">
        <f t="shared" ref="D74:E74" si="7">D70</f>
        <v>107.1</v>
      </c>
      <c r="E74" s="3">
        <f t="shared" si="7"/>
        <v>120.9</v>
      </c>
      <c r="G74" s="13" t="s">
        <v>41</v>
      </c>
      <c r="I74" s="3">
        <f>I70</f>
        <v>78.599999999999994</v>
      </c>
      <c r="J74" s="3">
        <f t="shared" ref="J74:K74" si="8">J70</f>
        <v>107.1</v>
      </c>
      <c r="K74" s="3">
        <f t="shared" si="8"/>
        <v>120.9</v>
      </c>
      <c r="M74" s="13" t="s">
        <v>41</v>
      </c>
      <c r="O74" s="3">
        <f>O70</f>
        <v>78.599999999999994</v>
      </c>
      <c r="P74" s="3">
        <f t="shared" ref="P74:Q74" si="9">P70</f>
        <v>107.1</v>
      </c>
      <c r="Q74" s="3">
        <f t="shared" si="9"/>
        <v>120.9</v>
      </c>
    </row>
    <row r="75" spans="1:17" x14ac:dyDescent="0.3">
      <c r="A75" s="13" t="s">
        <v>42</v>
      </c>
      <c r="C75" s="3">
        <f>('DCF &amp; Valuation'!B32)</f>
        <v>185</v>
      </c>
      <c r="D75" s="3">
        <f>('DCF &amp; Valuation'!B33)</f>
        <v>209</v>
      </c>
      <c r="E75" s="3">
        <f>('DCF &amp; Valuation'!B34)</f>
        <v>192.8</v>
      </c>
      <c r="G75" s="13" t="s">
        <v>42</v>
      </c>
      <c r="I75" s="3">
        <f>B32</f>
        <v>185</v>
      </c>
      <c r="J75" s="3">
        <f>B33</f>
        <v>209</v>
      </c>
      <c r="K75" s="3">
        <f>B34</f>
        <v>192.8</v>
      </c>
      <c r="M75" s="13" t="s">
        <v>42</v>
      </c>
      <c r="O75" s="3">
        <f>B32</f>
        <v>185</v>
      </c>
      <c r="P75" s="3">
        <f>B33</f>
        <v>209</v>
      </c>
      <c r="Q75" s="3">
        <f>B34</f>
        <v>192.8</v>
      </c>
    </row>
    <row r="76" spans="1:17" x14ac:dyDescent="0.3">
      <c r="A76" s="13" t="s">
        <v>43</v>
      </c>
      <c r="C76" s="3">
        <f>('DCF &amp; Valuation'!B35)</f>
        <v>186.5</v>
      </c>
      <c r="D76" s="3">
        <f>('DCF &amp; Valuation'!B36)</f>
        <v>337.2</v>
      </c>
      <c r="E76" s="3">
        <f>('DCF &amp; Valuation'!B37)</f>
        <v>471.3</v>
      </c>
      <c r="G76" s="13" t="s">
        <v>43</v>
      </c>
      <c r="I76" s="3">
        <f>B35</f>
        <v>186.5</v>
      </c>
      <c r="J76" s="3">
        <f>B36</f>
        <v>337.2</v>
      </c>
      <c r="K76" s="3">
        <f>B37</f>
        <v>471.3</v>
      </c>
      <c r="M76" s="13" t="s">
        <v>43</v>
      </c>
      <c r="O76" s="3">
        <f>B35</f>
        <v>186.5</v>
      </c>
      <c r="P76" s="3">
        <f>B36</f>
        <v>337.2</v>
      </c>
      <c r="Q76" s="3">
        <f>B37</f>
        <v>471.3</v>
      </c>
    </row>
    <row r="77" spans="1:17" x14ac:dyDescent="0.3">
      <c r="A77" s="17" t="s">
        <v>44</v>
      </c>
      <c r="B77" s="16"/>
      <c r="C77" s="6">
        <f>C73+C74-C75-C76</f>
        <v>358.74957200000006</v>
      </c>
      <c r="D77" s="6">
        <f>D73+D74-D75-D76</f>
        <v>326.39689182400019</v>
      </c>
      <c r="E77" s="6">
        <f>E73+E74-E75-E76</f>
        <v>355.72912153407987</v>
      </c>
      <c r="G77" s="17" t="s">
        <v>44</v>
      </c>
      <c r="H77" s="16"/>
      <c r="I77" s="6">
        <f>I73+I74-I75-I76</f>
        <v>286.15848559999995</v>
      </c>
      <c r="J77" s="6">
        <f>J73+J74-J75-J76</f>
        <v>220.69191409599995</v>
      </c>
      <c r="K77" s="6">
        <f>K73+K74-K75-K76</f>
        <v>209.85625226944006</v>
      </c>
      <c r="M77" s="17" t="s">
        <v>44</v>
      </c>
      <c r="N77" s="16"/>
      <c r="O77" s="6">
        <f>O73+O74-O75-O76</f>
        <v>433.39998000000003</v>
      </c>
      <c r="P77" s="6">
        <f>P73+P74-P75-P76</f>
        <v>422.89670200000018</v>
      </c>
      <c r="Q77" s="6">
        <f>Q73+Q74-Q75-Q76</f>
        <v>478.05529575999998</v>
      </c>
    </row>
    <row r="78" spans="1:17" x14ac:dyDescent="0.3">
      <c r="A78" s="17" t="s">
        <v>138</v>
      </c>
      <c r="B78" s="16"/>
      <c r="C78" s="6">
        <f>C77/(1+$B$46)^1</f>
        <v>313.6840185480641</v>
      </c>
      <c r="D78" s="6">
        <f>D77/(1+$B$46)^2</f>
        <v>249.5445085156675</v>
      </c>
      <c r="E78" s="6">
        <f>E77/(1+$B$46)^3</f>
        <v>237.80578976814436</v>
      </c>
      <c r="G78" s="17" t="s">
        <v>138</v>
      </c>
      <c r="H78" s="16"/>
      <c r="I78" s="6">
        <f>I77/(1+$B$46)^1</f>
        <v>250.21170953379229</v>
      </c>
      <c r="J78" s="6">
        <f>J77/(1+$B$46)^2</f>
        <v>168.72849164925381</v>
      </c>
      <c r="K78" s="6">
        <f>K77/(1+$B$46)^3</f>
        <v>140.28941907680192</v>
      </c>
      <c r="M78" s="17" t="s">
        <v>138</v>
      </c>
      <c r="N78" s="16"/>
      <c r="O78" s="6">
        <f>O77/(1+$B$46)^1</f>
        <v>378.95696044217328</v>
      </c>
      <c r="P78" s="6">
        <f>P77/(1+$B$46)^2</f>
        <v>323.32277756612797</v>
      </c>
      <c r="Q78" s="6">
        <f>Q77/(1+$B$46)^3</f>
        <v>319.58113710451266</v>
      </c>
    </row>
    <row r="80" spans="1:17" x14ac:dyDescent="0.3">
      <c r="A80" s="69" t="s">
        <v>163</v>
      </c>
      <c r="B80" s="69"/>
      <c r="C80" s="69"/>
      <c r="D80" s="69"/>
    </row>
    <row r="81" spans="1:7" ht="27.6" x14ac:dyDescent="0.3">
      <c r="A81" s="11" t="s">
        <v>46</v>
      </c>
      <c r="B81" s="11" t="s">
        <v>51</v>
      </c>
      <c r="C81" s="11" t="s">
        <v>52</v>
      </c>
      <c r="D81" s="11" t="s">
        <v>53</v>
      </c>
    </row>
    <row r="82" spans="1:7" x14ac:dyDescent="0.3">
      <c r="A82" s="13" t="s">
        <v>54</v>
      </c>
      <c r="B82" s="3">
        <f>E64</f>
        <v>1127.2560768000001</v>
      </c>
      <c r="C82" s="3">
        <f>E65</f>
        <v>1322.1950976000001</v>
      </c>
      <c r="D82" s="3">
        <f>E66</f>
        <v>1485.6671999999999</v>
      </c>
    </row>
    <row r="83" spans="1:7" x14ac:dyDescent="0.3">
      <c r="A83" s="13" t="s">
        <v>61</v>
      </c>
      <c r="B83" s="3">
        <f>B82*$B$48</f>
        <v>10145.304691200001</v>
      </c>
      <c r="C83" s="3">
        <f>C82*$B$48</f>
        <v>11899.755878400001</v>
      </c>
      <c r="D83" s="3">
        <f>D82*$B$48</f>
        <v>13371.004799999999</v>
      </c>
    </row>
    <row r="84" spans="1:7" x14ac:dyDescent="0.3">
      <c r="A84" s="13" t="s">
        <v>55</v>
      </c>
      <c r="B84" s="7">
        <f>B83/(1+$B$46)^3</f>
        <v>6782.1610559318269</v>
      </c>
      <c r="C84" s="7">
        <f t="shared" ref="C84:D84" si="10">C83/(1+$B$46)^3</f>
        <v>7955.0159753786838</v>
      </c>
      <c r="D84" s="7">
        <f t="shared" si="10"/>
        <v>8938.5494860392664</v>
      </c>
    </row>
    <row r="85" spans="1:7" x14ac:dyDescent="0.3">
      <c r="A85" s="13" t="s">
        <v>167</v>
      </c>
      <c r="B85" s="3">
        <f>SUM(I78:K78)</f>
        <v>559.22962025984805</v>
      </c>
      <c r="C85" s="3">
        <f>SUM($C$78:$E$78)</f>
        <v>801.03431683187591</v>
      </c>
      <c r="D85" s="3">
        <f>SUM(O78:Q78)</f>
        <v>1021.8608751128139</v>
      </c>
    </row>
    <row r="86" spans="1:7" x14ac:dyDescent="0.3">
      <c r="A86" s="17" t="s">
        <v>56</v>
      </c>
      <c r="B86" s="5">
        <f>B84+B85</f>
        <v>7341.3906761916751</v>
      </c>
      <c r="C86" s="5">
        <f>C84+C85</f>
        <v>8756.0502922105588</v>
      </c>
      <c r="D86" s="5">
        <f>D84+D85</f>
        <v>9960.4103611520804</v>
      </c>
    </row>
    <row r="87" spans="1:7" x14ac:dyDescent="0.3">
      <c r="A87" s="13" t="s">
        <v>57</v>
      </c>
      <c r="B87" s="3">
        <f>'DCF &amp; Valuation'!$B$12</f>
        <v>-85</v>
      </c>
      <c r="C87" s="3">
        <f>'DCF &amp; Valuation'!$B$12</f>
        <v>-85</v>
      </c>
      <c r="D87" s="3">
        <f>'DCF &amp; Valuation'!$B$12</f>
        <v>-85</v>
      </c>
    </row>
    <row r="88" spans="1:7" x14ac:dyDescent="0.3">
      <c r="A88" s="17" t="s">
        <v>58</v>
      </c>
      <c r="B88" s="5">
        <f>B86-B87</f>
        <v>7426.3906761916751</v>
      </c>
      <c r="C88" s="5">
        <f>C86-C87</f>
        <v>8841.0502922105588</v>
      </c>
      <c r="D88" s="5">
        <f>D86-D87</f>
        <v>10045.41036115208</v>
      </c>
    </row>
    <row r="89" spans="1:7" x14ac:dyDescent="0.3">
      <c r="A89" s="17" t="s">
        <v>59</v>
      </c>
      <c r="B89" s="6">
        <f>B88/'DCF &amp; Valuation'!$B$7</f>
        <v>553.17621424146557</v>
      </c>
      <c r="C89" s="6">
        <f>C88/'DCF &amp; Valuation'!$B$7</f>
        <v>658.551232194455</v>
      </c>
      <c r="D89" s="6">
        <f>D88/'DCF &amp; Valuation'!$B$7</f>
        <v>748.2614794154249</v>
      </c>
    </row>
    <row r="90" spans="1:7" x14ac:dyDescent="0.3">
      <c r="A90" s="13" t="s">
        <v>168</v>
      </c>
      <c r="B90" s="3">
        <f>'DCF &amp; Valuation'!$B$8</f>
        <v>481.7</v>
      </c>
      <c r="C90" s="3">
        <f>'DCF &amp; Valuation'!$B$8</f>
        <v>481.7</v>
      </c>
      <c r="D90" s="3">
        <f>'DCF &amp; Valuation'!$B$8</f>
        <v>481.7</v>
      </c>
    </row>
    <row r="91" spans="1:7" x14ac:dyDescent="0.3">
      <c r="A91" s="17" t="s">
        <v>60</v>
      </c>
      <c r="B91" s="58">
        <f>B89/B90-1</f>
        <v>0.14838325563933075</v>
      </c>
      <c r="C91" s="58">
        <f>C89/C90-1</f>
        <v>0.3671397803497094</v>
      </c>
      <c r="D91" s="58">
        <f>D89/D90-1</f>
        <v>0.55337654020225235</v>
      </c>
      <c r="G91" s="1"/>
    </row>
    <row r="93" spans="1:7" x14ac:dyDescent="0.3">
      <c r="A93" s="67" t="s">
        <v>164</v>
      </c>
      <c r="B93" s="67"/>
      <c r="C93" s="67"/>
      <c r="D93" s="67"/>
      <c r="E93" s="67"/>
      <c r="F93" s="67"/>
    </row>
    <row r="94" spans="1:7" x14ac:dyDescent="0.3">
      <c r="A94" s="18" t="s">
        <v>47</v>
      </c>
      <c r="B94" s="2">
        <v>0.02</v>
      </c>
      <c r="C94" s="2">
        <v>0.03</v>
      </c>
      <c r="D94" s="2">
        <v>0.04</v>
      </c>
      <c r="E94" s="2">
        <v>0.05</v>
      </c>
      <c r="F94" s="2">
        <v>0.06</v>
      </c>
    </row>
    <row r="95" spans="1:7" x14ac:dyDescent="0.3">
      <c r="A95" s="2">
        <v>0.12</v>
      </c>
      <c r="B95" s="3">
        <f>((E77*(1+0.02)/(0.12-0.02)/(1+0.12)^3)+(C77/(1+0.12)^1+D77/(1+0.12)^2+E77/(1+0.12)^3)-'DCF &amp; Valuation'!B12)/'DCF &amp; Valuation'!B7</f>
        <v>260.80927368392037</v>
      </c>
      <c r="C95" s="3">
        <f>((E77*(1+0.03)/(0.12-0.03)/(1+0.12)^3)+(C77/(1+0.12)^1+D77/(1+0.12)^2+E77/(1+0.12)^3)-'DCF &amp; Valuation'!B12)/'DCF &amp; Valuation'!B7</f>
        <v>284.28000223790929</v>
      </c>
      <c r="D95" s="3">
        <f>((E77*(1+0.04)/(0.12-0.04)/(1+0.12)^3)+(C77/(1+0.12)^1+D77/(1+0.12)^2+E77/(1+0.12)^3)-'DCF &amp; Valuation'!B12)/'DCF &amp; Valuation'!B7</f>
        <v>313.61841293039549</v>
      </c>
      <c r="E95" s="3">
        <f>((E77*(1+0.05)/(0.12-0.05)/(1+0.12)^3)+(C77/(1+0.12)^1+D77/(1+0.12)^2+E77/(1+0.12)^3)-'DCF &amp; Valuation'!B12)/'DCF &amp; Valuation'!B7</f>
        <v>351.33922667787766</v>
      </c>
      <c r="F95" s="3">
        <f>((E77*(1+0.06)/(0.12-0.06)/(1+0.12)^3)+(C77/(1+0.12)^1+D77/(1+0.12)^2+E77/(1+0.12)^3)-'DCF &amp; Valuation'!B12)/'DCF &amp; Valuation'!B7</f>
        <v>401.63364500785394</v>
      </c>
    </row>
    <row r="96" spans="1:7" x14ac:dyDescent="0.3">
      <c r="A96" s="2">
        <v>0.13</v>
      </c>
      <c r="B96" s="3">
        <f>((E77*(1+0.02)/(0.13-0.02)/(1+0.13)^3)+(C77/(1+0.13)^1+D77/(1+0.13)^2+E77/(1+0.13)^3)-'DCF &amp; Valuation'!B12)/'DCF &amp; Valuation'!B7</f>
        <v>237.66950206829608</v>
      </c>
      <c r="C96" s="3">
        <f>((E77*(1+0.03)/(0.13-0.03)/(1+0.13)^3)+(C77/(1+0.13)^1+D77/(1+0.13)^2+E77/(1+0.13)^3)-'DCF &amp; Valuation'!B12)/'DCF &amp; Valuation'!B7</f>
        <v>256.53444750312855</v>
      </c>
      <c r="D96" s="3">
        <f>((E77*(1+0.04)/(0.13-0.04)/(1+0.13)^3)+(C77/(1+0.13)^1+D77/(1+0.13)^2+E77/(1+0.13)^3)-'DCF &amp; Valuation'!B12)/'DCF &amp; Valuation'!B7</f>
        <v>279.59160303459055</v>
      </c>
      <c r="E96" s="3">
        <f>((E77*(1+0.05)/(0.13-0.05)/(1+0.13)^3)+(C77/(1+0.13)^1+D77/(1+0.13)^2+E77/(1+0.13)^3)-'DCF &amp; Valuation'!B12)/'DCF &amp; Valuation'!B7</f>
        <v>308.41304744891795</v>
      </c>
      <c r="F96" s="3">
        <f>((E77*(1+0.06)/(0.13-0.06)/(1+0.13)^3)+(C77/(1+0.13)^1+D77/(1+0.13)^2+E77/(1+0.13)^3)-'DCF &amp; Valuation'!B12)/'DCF &amp; Valuation'!B7</f>
        <v>345.46919026733889</v>
      </c>
    </row>
    <row r="97" spans="1:6" x14ac:dyDescent="0.3">
      <c r="A97" s="2">
        <v>0.14000000000000001</v>
      </c>
      <c r="B97" s="3">
        <f>((E77*(1+0.02)/(0.14-0.02)/(1+0.14)^3)+(C77/(1+0.14)^1+D77/(1+0.14)^2+E77/(1+0.14)^3)-'DCF &amp; Valuation'!B12)/'DCF &amp; Valuation'!B7</f>
        <v>218.38816756803732</v>
      </c>
      <c r="C97" s="3">
        <f>((E77*(1+0.03)/(0.14-0.03)/(1+0.14)^3)+(C77/(1+0.14)^1+D77/(1+0.14)^2+E77/(1+0.14)^3)-'DCF &amp; Valuation'!B12)/'DCF &amp; Valuation'!B7</f>
        <v>233.83436179814498</v>
      </c>
      <c r="D97" s="3">
        <f>((E77*(1+0.04)/(0.14-0.04)/(1+0.14)^3)+(C77/(1+0.14)^1+D77/(1+0.14)^2+E77/(1+0.14)^3)-'DCF &amp; Valuation'!B12)/'DCF &amp; Valuation'!B7</f>
        <v>252.36979487427425</v>
      </c>
      <c r="E97" s="3">
        <f>((E77*(1+0.05)/(0.14-0.05)/(1+0.14)^3)+(C77/(1+0.14)^1+D77/(1+0.14)^2+E77/(1+0.14)^3)-'DCF &amp; Valuation'!B12)/'DCF &amp; Valuation'!B7</f>
        <v>275.02421307843224</v>
      </c>
      <c r="F97" s="3">
        <f>((E77*(1+0.06)/(0.14-0.06)/(1+0.14)^3)+(C77/(1+0.14)^1+D77/(1+0.14)^2+E77/(1+0.14)^3)-'DCF &amp; Valuation'!B12)/'DCF &amp; Valuation'!B7</f>
        <v>303.34223583362973</v>
      </c>
    </row>
    <row r="98" spans="1:6" x14ac:dyDescent="0.3">
      <c r="A98" s="2">
        <v>0.15</v>
      </c>
      <c r="B98" s="3">
        <f>((E77*(1+0.02)/(0.15-0.02)/(1+0.15)^3)+(C77/(1+0.15)^1+D77/(1+0.15)^2+E77/(1+0.15)^3)-'DCF &amp; Valuation'!B12)/'DCF &amp; Valuation'!B7</f>
        <v>202.07477698075982</v>
      </c>
      <c r="C98" s="3">
        <f>((E77*(1+0.03)/(0.15-0.03)/(1+0.15)^3)+(C77/(1+0.15)^1+D77/(1+0.15)^2+E77/(1+0.15)^3)-'DCF &amp; Valuation'!B12)/'DCF &amp; Valuation'!B7</f>
        <v>214.91832005104789</v>
      </c>
      <c r="D98" s="10">
        <f>((E77*(1+0.04)/(0.15-0.04)/(1+0.15)^3)+(C77/(1+0.15)^1+D77/(1+0.15)^2+E77/(1+0.15)^3)-'DCF &amp; Valuation'!B12)/'DCF &amp; Valuation'!B7</f>
        <v>230.09705277047934</v>
      </c>
      <c r="E98" s="3">
        <f>((E77*(1+0.05)/(0.15-0.05)/(1+0.15)^3)+(C77/(1+0.15)^1+D77/(1+0.15)^2+E77/(1+0.15)^3)-'DCF &amp; Valuation'!B12)/'DCF &amp; Valuation'!B7</f>
        <v>248.31153203379696</v>
      </c>
      <c r="F98" s="3">
        <f>((E77*(1+0.06)/(0.15-0.06)/(1+0.15)^3)+(C77/(1+0.15)^1+D77/(1+0.15)^2+E77/(1+0.15)^3)-'DCF &amp; Valuation'!B12)/'DCF &amp; Valuation'!B7</f>
        <v>270.57367335562969</v>
      </c>
    </row>
    <row r="99" spans="1:6" x14ac:dyDescent="0.3">
      <c r="A99" s="2">
        <v>0.16</v>
      </c>
      <c r="B99" s="3">
        <f>((E77*(1+0.02)/(0.16-0.02)/(1+0.16)^3)+(C77/(1+0.16)^1+D77/(1+0.16)^2+E77/(1+0.16)^3)-'DCF &amp; Valuation'!B12)/'DCF &amp; Valuation'!B7</f>
        <v>188.09326774767109</v>
      </c>
      <c r="C99" s="3">
        <f>((E77*(1+0.03)/(0.16-0.03)/(1+0.16)^3)+(C77/(1+0.16)^1+D77/(1+0.16)^2+E77/(1+0.16)^3)-'DCF &amp; Valuation'!B12)/'DCF &amp; Valuation'!B7</f>
        <v>198.91303102509764</v>
      </c>
      <c r="D99" s="3">
        <f>((E77*(1+0.04)/(0.16-0.04)/(1+0.16)^3)+(C77/(1+0.16)^1+D77/(1+0.16)^2+E77/(1+0.16)^3)-'DCF &amp; Valuation'!B12)/'DCF &amp; Valuation'!B7</f>
        <v>211.53608818209526</v>
      </c>
      <c r="E99" s="3">
        <f>((E77*(1+0.05)/(0.16-0.05)/(1+0.16)^3)+(C77/(1+0.16)^1+D77/(1+0.16)^2+E77/(1+0.16)^3)-'DCF &amp; Valuation'!B12)/'DCF &amp; Valuation'!B7</f>
        <v>226.4542466403652</v>
      </c>
      <c r="F99" s="3">
        <f>((E77*(1+0.06)/(0.16-0.06)/(1+0.16)^3)+(C77/(1+0.16)^1+D77/(1+0.16)^2+E77/(1+0.16)^3)-'DCF &amp; Valuation'!B12)/'DCF &amp; Valuation'!B7</f>
        <v>244.35603679028912</v>
      </c>
    </row>
    <row r="100" spans="1:6" x14ac:dyDescent="0.3">
      <c r="A100" s="2">
        <v>0.17</v>
      </c>
      <c r="B100" s="3">
        <f>((E77*(1+0.02)/(0.17-0.02)/(1+0.17)^3)+(C77/(1+0.17)^1+D77/(1+0.17)^2+E77/(1+0.17)^3)-'DCF &amp; Valuation'!B12)/'DCF &amp; Valuation'!B7</f>
        <v>175.97719752734716</v>
      </c>
      <c r="C100" s="3">
        <f>((E77*(1+0.03)/(0.17-0.03)/(1+0.17)^3)+(C77/(1+0.17)^1+D77/(1+0.17)^2+E77/(1+0.17)^3)-'DCF &amp; Valuation'!B12)/'DCF &amp; Valuation'!B7</f>
        <v>185.19471792374168</v>
      </c>
      <c r="D100" s="3">
        <f>((E77*(1+0.04)/(0.17-0.04)/(1+0.17)^3)+(C77/(1+0.17)^1+D77/(1+0.17)^2+E77/(1+0.17)^3)-'DCF &amp; Valuation'!B12)/'DCF &amp; Valuation'!B7</f>
        <v>195.83031838111998</v>
      </c>
      <c r="E100" s="3">
        <f>((E77*(1+0.05)/(0.17-0.05)/(1+0.17)^3)+(C77/(1+0.17)^1+D77/(1+0.17)^2+E77/(1+0.17)^3)-'DCF &amp; Valuation'!B12)/'DCF &amp; Valuation'!B7</f>
        <v>208.23851891472799</v>
      </c>
      <c r="F100" s="3">
        <f>((E77*(1+0.06)/(0.17-0.06)/(1+0.17)^3)+(C77/(1+0.17)^1+D77/(1+0.17)^2+E77/(1+0.17)^3)-'DCF &amp; Valuation'!B12)/'DCF &amp; Valuation'!B7</f>
        <v>222.90275590899199</v>
      </c>
    </row>
    <row r="116" spans="1:9" x14ac:dyDescent="0.3">
      <c r="A116" s="68"/>
      <c r="B116" s="68"/>
      <c r="C116" s="68"/>
      <c r="D116" s="68"/>
      <c r="E116" s="68"/>
      <c r="F116" s="68"/>
      <c r="G116" s="68"/>
      <c r="H116" s="68"/>
      <c r="I116" s="68"/>
    </row>
  </sheetData>
  <mergeCells count="16">
    <mergeCell ref="M68:N68"/>
    <mergeCell ref="A116:I116"/>
    <mergeCell ref="A38:C38"/>
    <mergeCell ref="A52:E52"/>
    <mergeCell ref="A1:C1"/>
    <mergeCell ref="A16:E16"/>
    <mergeCell ref="A18:E18"/>
    <mergeCell ref="A23:E23"/>
    <mergeCell ref="A27:B27"/>
    <mergeCell ref="C39:C48"/>
    <mergeCell ref="A60:B60"/>
    <mergeCell ref="A68:B68"/>
    <mergeCell ref="A80:D80"/>
    <mergeCell ref="A93:F93"/>
    <mergeCell ref="A50:E50"/>
    <mergeCell ref="G68:H68"/>
  </mergeCells>
  <conditionalFormatting sqref="B95:F100">
    <cfRule type="cellIs" dxfId="1" priority="1" operator="lessThan">
      <formula>$B$8</formula>
    </cfRule>
    <cfRule type="cellIs" dxfId="0" priority="2" operator="greaterThan">
      <formula>$B$8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5B92-E687-48B5-AE8A-41F7A570ABF3}">
  <dimension ref="A1:L33"/>
  <sheetViews>
    <sheetView tabSelected="1" zoomScale="94" workbookViewId="0">
      <selection activeCell="B3" sqref="B3"/>
    </sheetView>
  </sheetViews>
  <sheetFormatPr defaultRowHeight="13.8" x14ac:dyDescent="0.3"/>
  <cols>
    <col min="1" max="1" width="26.6640625" style="19" customWidth="1"/>
    <col min="2" max="2" width="8.88671875" style="19" customWidth="1"/>
    <col min="3" max="3" width="19.6640625" style="19" bestFit="1" customWidth="1"/>
    <col min="4" max="4" width="15.21875" style="19" bestFit="1" customWidth="1"/>
    <col min="5" max="5" width="12.109375" style="19" bestFit="1" customWidth="1"/>
    <col min="6" max="6" width="8.88671875" style="19"/>
    <col min="7" max="7" width="19.44140625" style="19" bestFit="1" customWidth="1"/>
    <col min="8" max="8" width="9.21875" style="19" bestFit="1" customWidth="1"/>
    <col min="9" max="9" width="8.88671875" style="19"/>
    <col min="10" max="10" width="19.88671875" style="19" bestFit="1" customWidth="1"/>
    <col min="11" max="16384" width="8.88671875" style="19"/>
  </cols>
  <sheetData>
    <row r="1" spans="1:12" x14ac:dyDescent="0.3">
      <c r="A1" s="66" t="s">
        <v>63</v>
      </c>
      <c r="B1" s="66"/>
    </row>
    <row r="2" spans="1:12" x14ac:dyDescent="0.3">
      <c r="A2" s="19" t="s">
        <v>65</v>
      </c>
      <c r="B2" s="20">
        <v>7.3999999999999996E-2</v>
      </c>
    </row>
    <row r="3" spans="1:12" x14ac:dyDescent="0.3">
      <c r="A3" s="19" t="s">
        <v>66</v>
      </c>
      <c r="B3" s="20">
        <v>1.7500000000000002E-2</v>
      </c>
    </row>
    <row r="4" spans="1:12" x14ac:dyDescent="0.3">
      <c r="A4" s="29" t="s">
        <v>64</v>
      </c>
      <c r="B4" s="30">
        <f>B2-B3</f>
        <v>5.6499999999999995E-2</v>
      </c>
    </row>
    <row r="6" spans="1:12" x14ac:dyDescent="0.3">
      <c r="A6" s="19" t="s">
        <v>67</v>
      </c>
      <c r="B6" s="20">
        <v>4.4200000000000003E-2</v>
      </c>
      <c r="D6" s="66" t="s">
        <v>118</v>
      </c>
      <c r="E6" s="66"/>
      <c r="G6" s="66" t="s">
        <v>109</v>
      </c>
      <c r="H6" s="66" t="s">
        <v>76</v>
      </c>
      <c r="J6" s="66" t="s">
        <v>110</v>
      </c>
      <c r="K6" s="66"/>
    </row>
    <row r="7" spans="1:12" x14ac:dyDescent="0.3">
      <c r="A7" s="19" t="s">
        <v>68</v>
      </c>
      <c r="B7" s="23">
        <f>B8*(B9/B10)</f>
        <v>9.4694269499897996E-2</v>
      </c>
      <c r="D7" s="19" t="s">
        <v>74</v>
      </c>
      <c r="E7" s="34">
        <v>0.45</v>
      </c>
      <c r="G7" s="19" t="s">
        <v>77</v>
      </c>
      <c r="H7" s="24">
        <v>4.8099999999999997E-2</v>
      </c>
      <c r="J7" s="19" t="s">
        <v>91</v>
      </c>
      <c r="K7" s="24">
        <v>0.1348</v>
      </c>
    </row>
    <row r="8" spans="1:12" x14ac:dyDescent="0.3">
      <c r="A8" s="19" t="s">
        <v>69</v>
      </c>
      <c r="B8" s="25">
        <f>B3</f>
        <v>1.7500000000000002E-2</v>
      </c>
      <c r="D8" s="19" t="s">
        <v>75</v>
      </c>
      <c r="E8" s="26">
        <f>1-E7</f>
        <v>0.55000000000000004</v>
      </c>
      <c r="G8" s="19" t="s">
        <v>78</v>
      </c>
      <c r="H8" s="24">
        <v>0.1101</v>
      </c>
      <c r="J8" s="19" t="s">
        <v>92</v>
      </c>
      <c r="K8" s="24">
        <v>7.2999999999999995E-2</v>
      </c>
    </row>
    <row r="9" spans="1:12" x14ac:dyDescent="0.3">
      <c r="A9" s="19" t="s">
        <v>70</v>
      </c>
      <c r="B9" s="36">
        <v>0.16233303342839653</v>
      </c>
      <c r="G9" s="19" t="s">
        <v>79</v>
      </c>
      <c r="H9" s="24">
        <v>0.1348</v>
      </c>
      <c r="J9" s="19" t="s">
        <v>93</v>
      </c>
      <c r="K9" s="24">
        <v>0.1348</v>
      </c>
    </row>
    <row r="10" spans="1:12" x14ac:dyDescent="0.3">
      <c r="A10" s="19" t="s">
        <v>71</v>
      </c>
      <c r="B10" s="36">
        <v>0.03</v>
      </c>
      <c r="D10" s="66" t="s">
        <v>117</v>
      </c>
      <c r="E10" s="66"/>
      <c r="G10" s="19" t="s">
        <v>80</v>
      </c>
      <c r="H10" s="24">
        <v>6.1800000000000001E-2</v>
      </c>
      <c r="J10" s="19" t="s">
        <v>87</v>
      </c>
      <c r="K10" s="24">
        <v>9.7699999999999995E-2</v>
      </c>
    </row>
    <row r="11" spans="1:12" x14ac:dyDescent="0.3">
      <c r="A11" s="19" t="s">
        <v>72</v>
      </c>
      <c r="B11" s="25">
        <f>B6+B7</f>
        <v>0.138894269499898</v>
      </c>
      <c r="D11" s="19" t="s">
        <v>72</v>
      </c>
      <c r="E11" s="25">
        <f>B11*E7</f>
        <v>6.2502421274954104E-2</v>
      </c>
      <c r="G11" s="19" t="s">
        <v>90</v>
      </c>
      <c r="H11" s="24">
        <v>8.6499999999999994E-2</v>
      </c>
      <c r="J11" s="19" t="s">
        <v>88</v>
      </c>
      <c r="K11" s="24">
        <v>0.15340000000000001</v>
      </c>
    </row>
    <row r="12" spans="1:12" x14ac:dyDescent="0.3">
      <c r="A12" s="19" t="s">
        <v>73</v>
      </c>
      <c r="B12" s="25">
        <f>K15</f>
        <v>0.10939200831304818</v>
      </c>
      <c r="D12" s="19" t="s">
        <v>73</v>
      </c>
      <c r="E12" s="23">
        <f>B12*E8</f>
        <v>6.0165604572176505E-2</v>
      </c>
      <c r="G12" s="19" t="s">
        <v>81</v>
      </c>
      <c r="H12" s="24">
        <v>5.0700000000000002E-2</v>
      </c>
      <c r="J12" s="19" t="s">
        <v>89</v>
      </c>
      <c r="K12" s="24">
        <v>9.7699999999999995E-2</v>
      </c>
    </row>
    <row r="13" spans="1:12" x14ac:dyDescent="0.3">
      <c r="A13" s="29" t="s">
        <v>94</v>
      </c>
      <c r="B13" s="30">
        <f>SUM(E11:E12)</f>
        <v>0.1226680258471306</v>
      </c>
      <c r="G13" s="19" t="s">
        <v>82</v>
      </c>
      <c r="H13" s="24">
        <v>0.314</v>
      </c>
      <c r="J13" s="19" t="s">
        <v>111</v>
      </c>
      <c r="K13" s="24">
        <v>0.1905</v>
      </c>
      <c r="L13" s="22">
        <f>AVERAGE(K7:K13)</f>
        <v>0.12598571428571428</v>
      </c>
    </row>
    <row r="14" spans="1:12" x14ac:dyDescent="0.3">
      <c r="G14" s="19" t="s">
        <v>83</v>
      </c>
      <c r="H14" s="24">
        <v>6.9181325744202743E-2</v>
      </c>
    </row>
    <row r="15" spans="1:12" x14ac:dyDescent="0.3">
      <c r="A15" s="19" t="s">
        <v>95</v>
      </c>
      <c r="B15" s="27">
        <f>'Beta calculation'!U4</f>
        <v>0.70887437635418105</v>
      </c>
      <c r="G15" s="19" t="s">
        <v>84</v>
      </c>
      <c r="H15" s="24">
        <v>4.8099999999999997E-2</v>
      </c>
      <c r="J15" s="29" t="s">
        <v>151</v>
      </c>
      <c r="K15" s="30">
        <f>AVERAGE(L13,I17)</f>
        <v>0.10939200831304818</v>
      </c>
    </row>
    <row r="16" spans="1:12" x14ac:dyDescent="0.3">
      <c r="A16" s="19" t="s">
        <v>106</v>
      </c>
      <c r="B16" s="28">
        <v>0.3</v>
      </c>
      <c r="G16" s="19" t="s">
        <v>85</v>
      </c>
      <c r="H16" s="24">
        <v>4.9399999999999999E-2</v>
      </c>
    </row>
    <row r="17" spans="1:9" x14ac:dyDescent="0.3">
      <c r="A17" s="19" t="s">
        <v>102</v>
      </c>
      <c r="B17" s="20">
        <v>0.25169999999999998</v>
      </c>
      <c r="G17" s="19" t="s">
        <v>86</v>
      </c>
      <c r="H17" s="24">
        <v>4.8099999999999997E-2</v>
      </c>
      <c r="I17" s="22">
        <f>AVERAGE(H7:H17)</f>
        <v>9.2798302340382083E-2</v>
      </c>
    </row>
    <row r="18" spans="1:9" x14ac:dyDescent="0.3">
      <c r="A18" s="29" t="s">
        <v>107</v>
      </c>
      <c r="B18" s="60">
        <f>B15*(1+(1-B17)*B16)</f>
        <v>0.86800958510193116</v>
      </c>
    </row>
    <row r="19" spans="1:9" x14ac:dyDescent="0.3">
      <c r="B19" s="25"/>
    </row>
    <row r="20" spans="1:9" x14ac:dyDescent="0.3">
      <c r="A20" s="29" t="s">
        <v>108</v>
      </c>
      <c r="B20" s="30">
        <f>B4+(B18*B13)</f>
        <v>0.16297702222084079</v>
      </c>
    </row>
    <row r="22" spans="1:9" x14ac:dyDescent="0.3">
      <c r="A22" s="19" t="s">
        <v>119</v>
      </c>
      <c r="B22" s="25">
        <f>G25</f>
        <v>0.10516552922724767</v>
      </c>
      <c r="D22" s="4" t="s">
        <v>120</v>
      </c>
      <c r="E22" s="4" t="s">
        <v>125</v>
      </c>
      <c r="F22" s="4" t="s">
        <v>121</v>
      </c>
      <c r="G22" s="4" t="s">
        <v>122</v>
      </c>
    </row>
    <row r="23" spans="1:9" x14ac:dyDescent="0.3">
      <c r="A23" s="19" t="s">
        <v>102</v>
      </c>
      <c r="B23" s="20">
        <v>0.25169999999999998</v>
      </c>
      <c r="D23" s="19" t="s">
        <v>123</v>
      </c>
      <c r="E23" s="28">
        <v>136.86000000000001</v>
      </c>
      <c r="F23" s="20">
        <v>8.5000000000000006E-2</v>
      </c>
      <c r="G23" s="23">
        <f>F23*(E23/$E$25)</f>
        <v>1.6437200627357894E-2</v>
      </c>
    </row>
    <row r="24" spans="1:9" x14ac:dyDescent="0.3">
      <c r="A24" s="29" t="s">
        <v>126</v>
      </c>
      <c r="B24" s="30">
        <f>B22*(1-B23)</f>
        <v>7.8695365520749433E-2</v>
      </c>
      <c r="D24" s="19" t="s">
        <v>124</v>
      </c>
      <c r="E24" s="28">
        <v>570.87</v>
      </c>
      <c r="F24" s="34">
        <v>0.11</v>
      </c>
      <c r="G24" s="23">
        <f t="shared" ref="G24" si="0">F24*(E24/$E$25)</f>
        <v>8.8728328599889786E-2</v>
      </c>
    </row>
    <row r="25" spans="1:9" x14ac:dyDescent="0.3">
      <c r="B25" s="25"/>
      <c r="E25" s="21">
        <f>SUM(E23:E24)</f>
        <v>707.73</v>
      </c>
      <c r="G25" s="22">
        <f>SUM(G23:G24)</f>
        <v>0.10516552922724767</v>
      </c>
    </row>
    <row r="26" spans="1:9" x14ac:dyDescent="0.3">
      <c r="A26" s="19" t="s">
        <v>127</v>
      </c>
      <c r="B26" s="28">
        <v>678</v>
      </c>
      <c r="C26" s="31">
        <f>B26/SUM($B$26:$B$27)</f>
        <v>0.22913146333220683</v>
      </c>
    </row>
    <row r="27" spans="1:9" x14ac:dyDescent="0.3">
      <c r="A27" s="19" t="s">
        <v>128</v>
      </c>
      <c r="B27" s="32">
        <v>2281</v>
      </c>
      <c r="C27" s="31">
        <f t="shared" ref="C27" si="1">B27/SUM($B$26:$B$27)</f>
        <v>0.7708685366677932</v>
      </c>
    </row>
    <row r="29" spans="1:9" x14ac:dyDescent="0.3">
      <c r="A29" s="29" t="s">
        <v>45</v>
      </c>
      <c r="B29" s="33">
        <f>(B24*C26)+(B20*C27)</f>
        <v>0.14366544288908617</v>
      </c>
    </row>
    <row r="31" spans="1:9" x14ac:dyDescent="0.3">
      <c r="A31" s="29" t="s">
        <v>136</v>
      </c>
      <c r="B31" s="62">
        <v>4.4999999999999998E-2</v>
      </c>
    </row>
    <row r="33" spans="1:2" x14ac:dyDescent="0.3">
      <c r="A33" s="29" t="s">
        <v>137</v>
      </c>
      <c r="B33" s="35">
        <v>9</v>
      </c>
    </row>
  </sheetData>
  <mergeCells count="5">
    <mergeCell ref="D10:E10"/>
    <mergeCell ref="D6:E6"/>
    <mergeCell ref="A1:B1"/>
    <mergeCell ref="G6:H6"/>
    <mergeCell ref="J6:K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43B5-1E03-4CB8-B2CA-D230455704FC}">
  <dimension ref="A1:X1435"/>
  <sheetViews>
    <sheetView workbookViewId="0">
      <selection activeCell="B1" sqref="B1"/>
    </sheetView>
  </sheetViews>
  <sheetFormatPr defaultRowHeight="13.8" x14ac:dyDescent="0.3"/>
  <cols>
    <col min="1" max="1" width="10.33203125" style="12" bestFit="1" customWidth="1"/>
    <col min="2" max="2" width="15.21875" style="12" bestFit="1" customWidth="1"/>
    <col min="3" max="3" width="15.21875" style="12" customWidth="1"/>
    <col min="4" max="4" width="15.88671875" style="12" bestFit="1" customWidth="1"/>
    <col min="5" max="5" width="15.88671875" style="12" customWidth="1"/>
    <col min="6" max="6" width="17.44140625" style="12" bestFit="1" customWidth="1"/>
    <col min="7" max="7" width="15.88671875" style="12" customWidth="1"/>
    <col min="8" max="8" width="16.44140625" style="12" bestFit="1" customWidth="1"/>
    <col min="9" max="9" width="16.44140625" style="12" customWidth="1"/>
    <col min="10" max="10" width="17.44140625" style="12" bestFit="1" customWidth="1"/>
    <col min="11" max="11" width="16.44140625" style="12" customWidth="1"/>
    <col min="12" max="12" width="13.77734375" style="12" bestFit="1" customWidth="1"/>
    <col min="13" max="13" width="13.77734375" style="12" customWidth="1"/>
    <col min="14" max="14" width="17.44140625" style="12" bestFit="1" customWidth="1"/>
    <col min="15" max="15" width="13.77734375" style="12" customWidth="1"/>
    <col min="16" max="16" width="14" style="12" bestFit="1" customWidth="1"/>
    <col min="17" max="17" width="8.88671875" style="12"/>
    <col min="18" max="18" width="17.44140625" style="12" bestFit="1" customWidth="1"/>
    <col min="19" max="19" width="10.77734375" style="12" bestFit="1" customWidth="1"/>
    <col min="20" max="16384" width="8.88671875" style="12"/>
  </cols>
  <sheetData>
    <row r="1" spans="1:24" x14ac:dyDescent="0.3">
      <c r="A1" s="4" t="s">
        <v>100</v>
      </c>
      <c r="B1" s="4" t="s">
        <v>170</v>
      </c>
      <c r="C1" s="4" t="s">
        <v>148</v>
      </c>
      <c r="D1" s="4" t="s">
        <v>96</v>
      </c>
      <c r="E1" s="4" t="s">
        <v>148</v>
      </c>
      <c r="F1" s="51"/>
      <c r="G1" s="51"/>
      <c r="H1" s="4" t="s">
        <v>97</v>
      </c>
      <c r="I1" s="4" t="s">
        <v>148</v>
      </c>
      <c r="J1" s="51"/>
      <c r="K1" s="51"/>
      <c r="L1" s="4" t="s">
        <v>98</v>
      </c>
      <c r="M1" s="4" t="s">
        <v>148</v>
      </c>
      <c r="N1" s="51"/>
      <c r="O1" s="51"/>
      <c r="P1" s="4" t="s">
        <v>99</v>
      </c>
      <c r="Q1" s="4" t="s">
        <v>148</v>
      </c>
    </row>
    <row r="2" spans="1:24" ht="14.4" x14ac:dyDescent="0.3">
      <c r="A2" s="63">
        <v>44197</v>
      </c>
      <c r="B2" s="64">
        <v>11574.84960938</v>
      </c>
      <c r="C2" s="52"/>
      <c r="D2" s="65">
        <v>354.59453298</v>
      </c>
      <c r="E2" s="52"/>
      <c r="F2" s="52"/>
      <c r="G2" s="52"/>
      <c r="H2" s="65">
        <v>293.67427911999999</v>
      </c>
      <c r="I2" s="52"/>
      <c r="J2" s="52"/>
      <c r="K2" s="52"/>
      <c r="L2" s="65">
        <v>65.470727640000007</v>
      </c>
      <c r="M2" s="52"/>
      <c r="N2" s="52"/>
      <c r="O2" s="52"/>
      <c r="P2" s="65">
        <v>536.25852323000004</v>
      </c>
    </row>
    <row r="3" spans="1:24" ht="14.4" x14ac:dyDescent="0.3">
      <c r="A3" s="63">
        <v>44200</v>
      </c>
      <c r="B3" s="64">
        <v>11691.799804689999</v>
      </c>
      <c r="C3" s="47">
        <f>B3/B2-1</f>
        <v>1.0103819855700413E-2</v>
      </c>
      <c r="D3" s="65">
        <v>359.12289428000003</v>
      </c>
      <c r="E3" s="47">
        <f>D3/D2-1</f>
        <v>1.2770533324199418E-2</v>
      </c>
      <c r="F3" s="53" t="s">
        <v>149</v>
      </c>
      <c r="G3" s="48">
        <f>SLOPE(E3:E1435,$C$3:$C$1435)</f>
        <v>1.0334993292561199</v>
      </c>
      <c r="H3" s="65">
        <v>296.21311672000002</v>
      </c>
      <c r="I3" s="47">
        <f>H3/H2-1</f>
        <v>8.6450798742323531E-3</v>
      </c>
      <c r="J3" s="53" t="s">
        <v>149</v>
      </c>
      <c r="K3" s="48">
        <f>SLOPE(I3:I1435,$C$3:$C$1435)</f>
        <v>0.92791843356468751</v>
      </c>
      <c r="L3" s="65">
        <v>66.248977729999993</v>
      </c>
      <c r="M3" s="47">
        <f>L3/L2-1</f>
        <v>1.1886993134997637E-2</v>
      </c>
      <c r="N3" s="53" t="s">
        <v>149</v>
      </c>
      <c r="O3" s="48">
        <f>SLOPE(M3:M1435,$C$3:$C$1435)</f>
        <v>1.5910693635239541</v>
      </c>
      <c r="P3" s="65">
        <v>537.88277669000001</v>
      </c>
      <c r="Q3" s="47">
        <f>P3/P2-1</f>
        <v>3.0288627399650547E-3</v>
      </c>
      <c r="R3" s="53" t="s">
        <v>149</v>
      </c>
      <c r="S3" s="48">
        <f>SLOPE(Q3:Q1435,$C$3:$C$1435)</f>
        <v>0.85009433479496965</v>
      </c>
      <c r="U3" s="71" t="s">
        <v>105</v>
      </c>
      <c r="V3" s="71"/>
      <c r="W3" s="71"/>
      <c r="X3" s="71"/>
    </row>
    <row r="4" spans="1:24" ht="14.4" x14ac:dyDescent="0.3">
      <c r="A4" s="63">
        <v>44201</v>
      </c>
      <c r="B4" s="64">
        <v>11767</v>
      </c>
      <c r="C4" s="47">
        <f t="shared" ref="C4:C67" si="0">B4/B3-1</f>
        <v>6.4318750377367895E-3</v>
      </c>
      <c r="D4" s="65">
        <v>361.45855631000001</v>
      </c>
      <c r="E4" s="47">
        <f t="shared" ref="E4:E67" si="1">D4/D3-1</f>
        <v>6.503795962890857E-3</v>
      </c>
      <c r="F4" s="49" t="s">
        <v>101</v>
      </c>
      <c r="G4" s="54">
        <v>0.87</v>
      </c>
      <c r="H4" s="65">
        <v>293.16649312999999</v>
      </c>
      <c r="I4" s="47">
        <f t="shared" ref="I4:I67" si="2">H4/H3-1</f>
        <v>-1.0285242003242878E-2</v>
      </c>
      <c r="J4" s="49" t="s">
        <v>101</v>
      </c>
      <c r="K4" s="54">
        <v>0.46</v>
      </c>
      <c r="L4" s="65">
        <v>65.227522620000002</v>
      </c>
      <c r="M4" s="47">
        <f t="shared" ref="M4:M67" si="3">L4/L3-1</f>
        <v>-1.5418428253534233E-2</v>
      </c>
      <c r="N4" s="49" t="s">
        <v>101</v>
      </c>
      <c r="O4" s="54">
        <v>0.63</v>
      </c>
      <c r="P4" s="65">
        <v>545.69660264000004</v>
      </c>
      <c r="Q4" s="47">
        <f t="shared" ref="Q4:Q67" si="4">P4/P3-1</f>
        <v>1.4527005304175056E-2</v>
      </c>
      <c r="R4" s="49" t="s">
        <v>101</v>
      </c>
      <c r="S4" s="54">
        <v>0.1</v>
      </c>
      <c r="U4" s="72">
        <f>(G6*G8)+(K6*K8)+(O6*O8)+(S6*S8)</f>
        <v>0.70887437635418105</v>
      </c>
      <c r="V4" s="72"/>
      <c r="W4" s="72"/>
      <c r="X4" s="72"/>
    </row>
    <row r="5" spans="1:24" ht="14.4" x14ac:dyDescent="0.3">
      <c r="A5" s="63">
        <v>44202</v>
      </c>
      <c r="B5" s="64">
        <v>11737.90039063</v>
      </c>
      <c r="C5" s="47">
        <f t="shared" si="0"/>
        <v>-2.4729845644598791E-3</v>
      </c>
      <c r="D5" s="65">
        <v>353.35517291999997</v>
      </c>
      <c r="E5" s="47">
        <f t="shared" si="1"/>
        <v>-2.2418568459755206E-2</v>
      </c>
      <c r="F5" s="49" t="s">
        <v>102</v>
      </c>
      <c r="G5" s="55">
        <v>0.25169999999999998</v>
      </c>
      <c r="H5" s="65">
        <v>301.93702303999999</v>
      </c>
      <c r="I5" s="47">
        <f t="shared" si="2"/>
        <v>2.9916549522290836E-2</v>
      </c>
      <c r="J5" s="49" t="s">
        <v>102</v>
      </c>
      <c r="K5" s="55">
        <v>0.25169999999999998</v>
      </c>
      <c r="L5" s="65">
        <v>63.379165469999997</v>
      </c>
      <c r="M5" s="47">
        <f t="shared" si="3"/>
        <v>-2.8337074225064374E-2</v>
      </c>
      <c r="N5" s="49" t="s">
        <v>102</v>
      </c>
      <c r="O5" s="55">
        <v>0.25169999999999998</v>
      </c>
      <c r="P5" s="65">
        <v>552.72029001999999</v>
      </c>
      <c r="Q5" s="47">
        <f t="shared" si="4"/>
        <v>1.287104839212927E-2</v>
      </c>
      <c r="R5" s="49" t="s">
        <v>102</v>
      </c>
      <c r="S5" s="55">
        <v>0.25169999999999998</v>
      </c>
    </row>
    <row r="6" spans="1:24" ht="14.4" x14ac:dyDescent="0.3">
      <c r="A6" s="63">
        <v>44203</v>
      </c>
      <c r="B6" s="64">
        <v>11766.09960938</v>
      </c>
      <c r="C6" s="47">
        <f t="shared" si="0"/>
        <v>2.4024073992408024E-3</v>
      </c>
      <c r="D6" s="65">
        <v>349.25583333999998</v>
      </c>
      <c r="E6" s="47">
        <f t="shared" si="1"/>
        <v>-1.1601187400553714E-2</v>
      </c>
      <c r="F6" s="49" t="s">
        <v>103</v>
      </c>
      <c r="G6" s="50">
        <f>G3/(1+(1-G5)*G4)</f>
        <v>0.62597588356303147</v>
      </c>
      <c r="H6" s="65">
        <v>310.06132184000001</v>
      </c>
      <c r="I6" s="47">
        <f t="shared" si="2"/>
        <v>2.690726270730881E-2</v>
      </c>
      <c r="J6" s="49" t="s">
        <v>103</v>
      </c>
      <c r="K6" s="50">
        <f>K3/(1+(1-K5)*K4)</f>
        <v>0.69030353228768504</v>
      </c>
      <c r="L6" s="65">
        <v>65.811212679999997</v>
      </c>
      <c r="M6" s="47">
        <f t="shared" si="3"/>
        <v>3.8372976229092082E-2</v>
      </c>
      <c r="N6" s="49" t="s">
        <v>103</v>
      </c>
      <c r="O6" s="50">
        <f>O3/(1+(1-O5)*O4)</f>
        <v>1.0813089612369704</v>
      </c>
      <c r="P6" s="65">
        <v>559.52448769</v>
      </c>
      <c r="Q6" s="47">
        <f t="shared" si="4"/>
        <v>1.2310381567055995E-2</v>
      </c>
      <c r="R6" s="49" t="s">
        <v>103</v>
      </c>
      <c r="S6" s="50">
        <f>S3/(1+(1-S5)*S4)</f>
        <v>0.79091050193516155</v>
      </c>
    </row>
    <row r="7" spans="1:24" ht="14.4" x14ac:dyDescent="0.3">
      <c r="A7" s="63">
        <v>44204</v>
      </c>
      <c r="B7" s="64">
        <v>11925.59960938</v>
      </c>
      <c r="C7" s="47">
        <f t="shared" si="0"/>
        <v>1.3555894076644259E-2</v>
      </c>
      <c r="D7" s="65">
        <v>345.44247645000002</v>
      </c>
      <c r="E7" s="47">
        <f t="shared" si="1"/>
        <v>-1.0918520253569208E-2</v>
      </c>
      <c r="F7" s="49" t="s">
        <v>150</v>
      </c>
      <c r="G7" s="56">
        <v>23506</v>
      </c>
      <c r="H7" s="65">
        <v>324.32495465</v>
      </c>
      <c r="I7" s="47">
        <f t="shared" si="2"/>
        <v>4.6002618854087185E-2</v>
      </c>
      <c r="J7" s="49" t="s">
        <v>150</v>
      </c>
      <c r="K7" s="57">
        <v>27380</v>
      </c>
      <c r="L7" s="65">
        <v>68.826949949999999</v>
      </c>
      <c r="M7" s="47">
        <f t="shared" si="3"/>
        <v>4.5824064732915781E-2</v>
      </c>
      <c r="N7" s="49" t="s">
        <v>150</v>
      </c>
      <c r="O7" s="57">
        <v>5609</v>
      </c>
      <c r="P7" s="65">
        <v>584.15128264999998</v>
      </c>
      <c r="Q7" s="47">
        <f t="shared" si="4"/>
        <v>4.4013792964936682E-2</v>
      </c>
      <c r="R7" s="49" t="s">
        <v>150</v>
      </c>
      <c r="S7" s="57">
        <v>4487</v>
      </c>
    </row>
    <row r="8" spans="1:24" ht="14.4" x14ac:dyDescent="0.3">
      <c r="A8" s="63">
        <v>44207</v>
      </c>
      <c r="B8" s="64">
        <v>12006.5</v>
      </c>
      <c r="C8" s="47">
        <f t="shared" si="0"/>
        <v>6.7837587433647872E-3</v>
      </c>
      <c r="D8" s="65">
        <v>347.77813848</v>
      </c>
      <c r="E8" s="47">
        <f t="shared" si="1"/>
        <v>6.761363147933741E-3</v>
      </c>
      <c r="F8" s="49" t="s">
        <v>104</v>
      </c>
      <c r="G8" s="49">
        <f>G7/(SUM($G$7,$K$7,$O$7,$S$7))</f>
        <v>0.38545800400118069</v>
      </c>
      <c r="H8" s="65">
        <v>314.67739021</v>
      </c>
      <c r="I8" s="47">
        <f t="shared" si="2"/>
        <v>-2.974659921069378E-2</v>
      </c>
      <c r="J8" s="49" t="s">
        <v>104</v>
      </c>
      <c r="K8" s="49">
        <f>K7/(SUM($G$7,$K$7,$O$7,$S$7))</f>
        <v>0.4489849463776196</v>
      </c>
      <c r="L8" s="65">
        <v>67.027236779999996</v>
      </c>
      <c r="M8" s="47">
        <f t="shared" si="3"/>
        <v>-2.6148378960674901E-2</v>
      </c>
      <c r="N8" s="49" t="s">
        <v>104</v>
      </c>
      <c r="O8" s="49">
        <f>O7/(SUM($G$7,$K$7,$O$7,$S$7))</f>
        <v>9.1977960709717616E-2</v>
      </c>
      <c r="P8" s="65">
        <v>618.65518157999998</v>
      </c>
      <c r="Q8" s="47">
        <f t="shared" si="4"/>
        <v>5.9066717740434038E-2</v>
      </c>
      <c r="R8" s="49" t="s">
        <v>104</v>
      </c>
      <c r="S8" s="49">
        <f>S7/(SUM($G$7,$K$7,$O$7,$S$7))</f>
        <v>7.3579088911482071E-2</v>
      </c>
    </row>
    <row r="9" spans="1:24" ht="14.4" x14ac:dyDescent="0.3">
      <c r="A9" s="63">
        <v>44208</v>
      </c>
      <c r="B9" s="64">
        <v>12058.34960938</v>
      </c>
      <c r="C9" s="47">
        <f t="shared" si="0"/>
        <v>4.3184616149585242E-3</v>
      </c>
      <c r="D9" s="65">
        <v>348.15949323000001</v>
      </c>
      <c r="E9" s="47">
        <f t="shared" si="1"/>
        <v>1.0965460671759075E-3</v>
      </c>
      <c r="F9" s="47"/>
      <c r="G9" s="47"/>
      <c r="H9" s="65">
        <v>311.90774919</v>
      </c>
      <c r="I9" s="47">
        <f t="shared" si="2"/>
        <v>-8.8015253277385908E-3</v>
      </c>
      <c r="J9" s="47"/>
      <c r="K9" s="47"/>
      <c r="L9" s="65">
        <v>65.373439660000003</v>
      </c>
      <c r="M9" s="47">
        <f t="shared" si="3"/>
        <v>-2.4673508851754788E-2</v>
      </c>
      <c r="N9" s="47"/>
      <c r="O9" s="47"/>
      <c r="P9" s="65">
        <v>625.67886897000005</v>
      </c>
      <c r="Q9" s="47">
        <f t="shared" si="4"/>
        <v>1.1353153742383659E-2</v>
      </c>
    </row>
    <row r="10" spans="1:24" ht="14.4" x14ac:dyDescent="0.3">
      <c r="A10" s="63">
        <v>44209</v>
      </c>
      <c r="B10" s="64">
        <v>12041.09960938</v>
      </c>
      <c r="C10" s="47">
        <f t="shared" si="0"/>
        <v>-1.430544026238989E-3</v>
      </c>
      <c r="D10" s="65">
        <v>334.43138937999998</v>
      </c>
      <c r="E10" s="47">
        <f t="shared" si="1"/>
        <v>-3.9430502734937645E-2</v>
      </c>
      <c r="F10" s="47"/>
      <c r="G10" s="47"/>
      <c r="H10" s="65">
        <v>305.30677142000002</v>
      </c>
      <c r="I10" s="47">
        <f t="shared" si="2"/>
        <v>-2.1163237486539588E-2</v>
      </c>
      <c r="J10" s="47"/>
      <c r="K10" s="47"/>
      <c r="L10" s="65">
        <v>64.108779530000007</v>
      </c>
      <c r="M10" s="47">
        <f t="shared" si="3"/>
        <v>-1.934516734284375E-2</v>
      </c>
      <c r="N10" s="47"/>
      <c r="O10" s="47"/>
      <c r="P10" s="65">
        <v>718.39152559000001</v>
      </c>
      <c r="Q10" s="47">
        <f t="shared" si="4"/>
        <v>0.14817929966633625</v>
      </c>
    </row>
    <row r="11" spans="1:24" ht="14.4" x14ac:dyDescent="0.3">
      <c r="A11" s="63">
        <v>44210</v>
      </c>
      <c r="B11" s="64">
        <v>12069.5</v>
      </c>
      <c r="C11" s="47">
        <f t="shared" si="0"/>
        <v>2.3586210181232303E-3</v>
      </c>
      <c r="D11" s="65">
        <v>344.2031164</v>
      </c>
      <c r="E11" s="47">
        <f t="shared" si="1"/>
        <v>2.9218928995019766E-2</v>
      </c>
      <c r="F11" s="47"/>
      <c r="G11" s="47"/>
      <c r="H11" s="65">
        <v>308.58417072999998</v>
      </c>
      <c r="I11" s="47">
        <f t="shared" si="2"/>
        <v>1.0734774386943924E-2</v>
      </c>
      <c r="J11" s="47"/>
      <c r="K11" s="47"/>
      <c r="L11" s="65">
        <v>67.173160789999997</v>
      </c>
      <c r="M11" s="47">
        <f t="shared" si="3"/>
        <v>4.7799712963900731E-2</v>
      </c>
      <c r="N11" s="47"/>
      <c r="O11" s="47"/>
      <c r="P11" s="65">
        <v>673.65940765000005</v>
      </c>
      <c r="Q11" s="47">
        <f t="shared" si="4"/>
        <v>-6.2267045679947897E-2</v>
      </c>
    </row>
    <row r="12" spans="1:24" ht="14.4" x14ac:dyDescent="0.3">
      <c r="A12" s="63">
        <v>44211</v>
      </c>
      <c r="B12" s="64">
        <v>11931.200195310001</v>
      </c>
      <c r="C12" s="47">
        <f t="shared" si="0"/>
        <v>-1.1458619221177302E-2</v>
      </c>
      <c r="D12" s="65">
        <v>336.81473742999998</v>
      </c>
      <c r="E12" s="47">
        <f t="shared" si="1"/>
        <v>-2.146517163259487E-2</v>
      </c>
      <c r="F12" s="47"/>
      <c r="G12" s="47"/>
      <c r="H12" s="65">
        <v>308.26103670999998</v>
      </c>
      <c r="I12" s="47">
        <f t="shared" si="2"/>
        <v>-1.0471503422732065E-3</v>
      </c>
      <c r="J12" s="47"/>
      <c r="K12" s="47"/>
      <c r="L12" s="65">
        <v>65.713931669999994</v>
      </c>
      <c r="M12" s="47">
        <f t="shared" si="3"/>
        <v>-2.1723395219735431E-2</v>
      </c>
      <c r="N12" s="47"/>
      <c r="O12" s="47"/>
      <c r="P12" s="65">
        <v>651.40311558999997</v>
      </c>
      <c r="Q12" s="47">
        <f t="shared" si="4"/>
        <v>-3.3037899875308141E-2</v>
      </c>
    </row>
    <row r="13" spans="1:24" ht="14.4" x14ac:dyDescent="0.3">
      <c r="A13" s="63">
        <v>44214</v>
      </c>
      <c r="B13" s="64">
        <v>11776.200195310001</v>
      </c>
      <c r="C13" s="47">
        <f t="shared" si="0"/>
        <v>-1.2991149043071859E-2</v>
      </c>
      <c r="D13" s="65">
        <v>329.66469326999999</v>
      </c>
      <c r="E13" s="47">
        <f t="shared" si="1"/>
        <v>-2.1228418371942448E-2</v>
      </c>
      <c r="F13" s="47"/>
      <c r="G13" s="47"/>
      <c r="H13" s="65">
        <v>297.41327604000003</v>
      </c>
      <c r="I13" s="47">
        <f t="shared" si="2"/>
        <v>-3.5190177733052663E-2</v>
      </c>
      <c r="J13" s="47"/>
      <c r="K13" s="47"/>
      <c r="L13" s="65">
        <v>64.449264569999997</v>
      </c>
      <c r="M13" s="47">
        <f t="shared" si="3"/>
        <v>-1.9245037815586175E-2</v>
      </c>
      <c r="N13" s="47"/>
      <c r="O13" s="47"/>
      <c r="P13" s="65">
        <v>629.32238104999999</v>
      </c>
      <c r="Q13" s="47">
        <f t="shared" si="4"/>
        <v>-3.3897189024035712E-2</v>
      </c>
    </row>
    <row r="14" spans="1:24" ht="14.4" x14ac:dyDescent="0.3">
      <c r="A14" s="63">
        <v>44215</v>
      </c>
      <c r="B14" s="64">
        <v>11981.84960938</v>
      </c>
      <c r="C14" s="47">
        <f t="shared" si="0"/>
        <v>1.7463138419802071E-2</v>
      </c>
      <c r="D14" s="65">
        <v>332.04804131999998</v>
      </c>
      <c r="E14" s="47">
        <f t="shared" si="1"/>
        <v>7.229612690273779E-3</v>
      </c>
      <c r="F14" s="47"/>
      <c r="G14" s="47"/>
      <c r="H14" s="65">
        <v>298.29034748999999</v>
      </c>
      <c r="I14" s="47">
        <f t="shared" si="2"/>
        <v>2.9489989877991007E-3</v>
      </c>
      <c r="J14" s="47"/>
      <c r="K14" s="47"/>
      <c r="L14" s="65">
        <v>67.2704418</v>
      </c>
      <c r="M14" s="47">
        <f t="shared" si="3"/>
        <v>4.377361400200086E-2</v>
      </c>
      <c r="N14" s="47"/>
      <c r="O14" s="47"/>
      <c r="P14" s="65">
        <v>659.04138403000002</v>
      </c>
      <c r="Q14" s="47">
        <f t="shared" si="4"/>
        <v>4.7223813858987551E-2</v>
      </c>
    </row>
    <row r="15" spans="1:24" ht="14.4" x14ac:dyDescent="0.3">
      <c r="A15" s="63">
        <v>44216</v>
      </c>
      <c r="B15" s="64">
        <v>12078.34960938</v>
      </c>
      <c r="C15" s="47">
        <f t="shared" si="0"/>
        <v>8.053848374499184E-3</v>
      </c>
      <c r="D15" s="65">
        <v>336.71942257000001</v>
      </c>
      <c r="E15" s="47">
        <f t="shared" si="1"/>
        <v>1.4068389716830554E-2</v>
      </c>
      <c r="F15" s="47"/>
      <c r="G15" s="47"/>
      <c r="H15" s="65">
        <v>295.93613415999999</v>
      </c>
      <c r="I15" s="47">
        <f t="shared" si="2"/>
        <v>-7.892355048729538E-3</v>
      </c>
      <c r="J15" s="47"/>
      <c r="K15" s="47"/>
      <c r="L15" s="65">
        <v>66.686750750000002</v>
      </c>
      <c r="M15" s="47">
        <f t="shared" si="3"/>
        <v>-8.6767833595526866E-3</v>
      </c>
      <c r="N15" s="47"/>
      <c r="O15" s="47"/>
      <c r="P15" s="65">
        <v>646.53044138999996</v>
      </c>
      <c r="Q15" s="47">
        <f t="shared" si="4"/>
        <v>-1.8983546319195299E-2</v>
      </c>
    </row>
    <row r="16" spans="1:24" ht="14.4" x14ac:dyDescent="0.3">
      <c r="A16" s="63">
        <v>44217</v>
      </c>
      <c r="B16" s="64">
        <v>12015.950195310001</v>
      </c>
      <c r="C16" s="47">
        <f t="shared" si="0"/>
        <v>-5.1662202277652503E-3</v>
      </c>
      <c r="D16" s="65">
        <v>338.10174538000001</v>
      </c>
      <c r="E16" s="47">
        <f t="shared" si="1"/>
        <v>4.1052660385596518E-3</v>
      </c>
      <c r="F16" s="47"/>
      <c r="G16" s="47"/>
      <c r="H16" s="65">
        <v>297.64407944999999</v>
      </c>
      <c r="I16" s="47">
        <f t="shared" si="2"/>
        <v>5.7713306786544294E-3</v>
      </c>
      <c r="J16" s="47"/>
      <c r="K16" s="47"/>
      <c r="L16" s="65">
        <v>63.671006509999998</v>
      </c>
      <c r="M16" s="47">
        <f t="shared" si="3"/>
        <v>-4.5222539801131445E-2</v>
      </c>
      <c r="N16" s="47"/>
      <c r="O16" s="47"/>
      <c r="P16" s="65">
        <v>672.21079786999996</v>
      </c>
      <c r="Q16" s="47">
        <f t="shared" si="4"/>
        <v>3.9720258840076905E-2</v>
      </c>
    </row>
    <row r="17" spans="1:17" ht="14.4" x14ac:dyDescent="0.3">
      <c r="A17" s="63">
        <v>44218</v>
      </c>
      <c r="B17" s="64">
        <v>11854.5</v>
      </c>
      <c r="C17" s="47">
        <f t="shared" si="0"/>
        <v>-1.34363236103473E-2</v>
      </c>
      <c r="D17" s="65">
        <v>340.77111427</v>
      </c>
      <c r="E17" s="47">
        <f t="shared" si="1"/>
        <v>7.895164477781158E-3</v>
      </c>
      <c r="F17" s="47"/>
      <c r="G17" s="47"/>
      <c r="H17" s="65">
        <v>289.98142442</v>
      </c>
      <c r="I17" s="47">
        <f t="shared" si="2"/>
        <v>-2.5744355621517445E-2</v>
      </c>
      <c r="J17" s="47"/>
      <c r="K17" s="47"/>
      <c r="L17" s="65">
        <v>62.260421379999997</v>
      </c>
      <c r="M17" s="47">
        <f t="shared" si="3"/>
        <v>-2.215427723415142E-2</v>
      </c>
      <c r="N17" s="47"/>
      <c r="O17" s="47"/>
      <c r="P17" s="65">
        <v>667.64539265999997</v>
      </c>
      <c r="Q17" s="47">
        <f t="shared" si="4"/>
        <v>-6.791627305699599E-3</v>
      </c>
    </row>
    <row r="18" spans="1:17" ht="14.4" x14ac:dyDescent="0.3">
      <c r="A18" s="63">
        <v>44221</v>
      </c>
      <c r="B18" s="64">
        <v>11743.700195310001</v>
      </c>
      <c r="C18" s="47">
        <f t="shared" si="0"/>
        <v>-9.3466451296975173E-3</v>
      </c>
      <c r="D18" s="65">
        <v>341.10476392999999</v>
      </c>
      <c r="E18" s="47">
        <f t="shared" si="1"/>
        <v>9.7910194270633966E-4</v>
      </c>
      <c r="F18" s="47"/>
      <c r="G18" s="47"/>
      <c r="H18" s="65">
        <v>292.88953825999999</v>
      </c>
      <c r="I18" s="47">
        <f t="shared" si="2"/>
        <v>1.0028621129152038E-2</v>
      </c>
      <c r="J18" s="47"/>
      <c r="K18" s="47"/>
      <c r="L18" s="65">
        <v>59.293324120000001</v>
      </c>
      <c r="M18" s="47">
        <f t="shared" si="3"/>
        <v>-4.7656234799482444E-2</v>
      </c>
      <c r="N18" s="47"/>
      <c r="O18" s="47"/>
      <c r="P18" s="65">
        <v>653.33463802999995</v>
      </c>
      <c r="Q18" s="47">
        <f t="shared" si="4"/>
        <v>-2.1434663950849475E-2</v>
      </c>
    </row>
    <row r="19" spans="1:17" ht="14.4" x14ac:dyDescent="0.3">
      <c r="A19" s="63">
        <v>44223</v>
      </c>
      <c r="B19" s="64">
        <v>11546.34960938</v>
      </c>
      <c r="C19" s="47">
        <f t="shared" si="0"/>
        <v>-1.680480450350863E-2</v>
      </c>
      <c r="D19" s="65">
        <v>342.01044572000001</v>
      </c>
      <c r="E19" s="47">
        <f t="shared" si="1"/>
        <v>2.6551426006640177E-3</v>
      </c>
      <c r="F19" s="47"/>
      <c r="G19" s="47"/>
      <c r="H19" s="65">
        <v>293.02801108</v>
      </c>
      <c r="I19" s="47">
        <f t="shared" si="2"/>
        <v>4.7278172113163208E-4</v>
      </c>
      <c r="J19" s="47"/>
      <c r="K19" s="47"/>
      <c r="L19" s="65">
        <v>60.314783210000002</v>
      </c>
      <c r="M19" s="47">
        <f t="shared" si="3"/>
        <v>1.7227219171128461E-2</v>
      </c>
      <c r="N19" s="47"/>
      <c r="O19" s="47"/>
      <c r="P19" s="65">
        <v>641.17485351000005</v>
      </c>
      <c r="Q19" s="47">
        <f t="shared" si="4"/>
        <v>-1.861187791399721E-2</v>
      </c>
    </row>
    <row r="20" spans="1:17" ht="14.4" x14ac:dyDescent="0.3">
      <c r="A20" s="63">
        <v>44224</v>
      </c>
      <c r="B20" s="64">
        <v>11442.549804689999</v>
      </c>
      <c r="C20" s="47">
        <f t="shared" si="0"/>
        <v>-8.9898373253548547E-3</v>
      </c>
      <c r="D20" s="65">
        <v>341.15244995</v>
      </c>
      <c r="E20" s="47">
        <f t="shared" si="1"/>
        <v>-2.5086829385978504E-3</v>
      </c>
      <c r="F20" s="47"/>
      <c r="G20" s="47"/>
      <c r="H20" s="65">
        <v>290.99695946000003</v>
      </c>
      <c r="I20" s="47">
        <f t="shared" si="2"/>
        <v>-6.9312541572875697E-3</v>
      </c>
      <c r="J20" s="47"/>
      <c r="K20" s="47"/>
      <c r="L20" s="65">
        <v>60.022938179999997</v>
      </c>
      <c r="M20" s="47">
        <f t="shared" si="3"/>
        <v>-4.8386981510631921E-3</v>
      </c>
      <c r="N20" s="47"/>
      <c r="O20" s="47"/>
      <c r="P20" s="65">
        <v>634.28287760000001</v>
      </c>
      <c r="Q20" s="47">
        <f t="shared" si="4"/>
        <v>-1.074898036357963E-2</v>
      </c>
    </row>
    <row r="21" spans="1:17" ht="14.4" x14ac:dyDescent="0.3">
      <c r="A21" s="63">
        <v>44225</v>
      </c>
      <c r="B21" s="64">
        <v>11302.40039063</v>
      </c>
      <c r="C21" s="47">
        <f t="shared" si="0"/>
        <v>-1.2248092990825854E-2</v>
      </c>
      <c r="D21" s="65">
        <v>342.86844149000001</v>
      </c>
      <c r="E21" s="47">
        <f t="shared" si="1"/>
        <v>5.0299845135262089E-3</v>
      </c>
      <c r="F21" s="47"/>
      <c r="G21" s="47"/>
      <c r="H21" s="65">
        <v>290.76615604</v>
      </c>
      <c r="I21" s="47">
        <f t="shared" si="2"/>
        <v>-7.9314718761436254E-4</v>
      </c>
      <c r="J21" s="47"/>
      <c r="K21" s="47"/>
      <c r="L21" s="65">
        <v>58.417785049999999</v>
      </c>
      <c r="M21" s="47">
        <f t="shared" si="3"/>
        <v>-2.6742328494256284E-2</v>
      </c>
      <c r="N21" s="47"/>
      <c r="O21" s="47"/>
      <c r="P21" s="65">
        <v>636.65338050000003</v>
      </c>
      <c r="Q21" s="47">
        <f t="shared" si="4"/>
        <v>3.7372960609776129E-3</v>
      </c>
    </row>
    <row r="22" spans="1:17" ht="14.4" x14ac:dyDescent="0.3">
      <c r="A22" s="63">
        <v>44228</v>
      </c>
      <c r="B22" s="64">
        <v>11770.15039063</v>
      </c>
      <c r="C22" s="47">
        <f t="shared" si="0"/>
        <v>4.1385014141578136E-2</v>
      </c>
      <c r="D22" s="65">
        <v>351.16251177999999</v>
      </c>
      <c r="E22" s="47">
        <f t="shared" si="1"/>
        <v>2.4190241172259874E-2</v>
      </c>
      <c r="F22" s="47"/>
      <c r="G22" s="47"/>
      <c r="H22" s="65">
        <v>297.73641005000002</v>
      </c>
      <c r="I22" s="47">
        <f t="shared" si="2"/>
        <v>2.3972026541634772E-2</v>
      </c>
      <c r="J22" s="47"/>
      <c r="K22" s="47"/>
      <c r="L22" s="65">
        <v>60.557988229999999</v>
      </c>
      <c r="M22" s="47">
        <f t="shared" si="3"/>
        <v>3.6636157604541086E-2</v>
      </c>
      <c r="N22" s="47"/>
      <c r="O22" s="47"/>
      <c r="P22" s="65">
        <v>649.73497198999996</v>
      </c>
      <c r="Q22" s="47">
        <f t="shared" si="4"/>
        <v>2.0547431130776728E-2</v>
      </c>
    </row>
    <row r="23" spans="1:17" ht="14.4" x14ac:dyDescent="0.3">
      <c r="A23" s="63">
        <v>44229</v>
      </c>
      <c r="B23" s="64">
        <v>12053.25</v>
      </c>
      <c r="C23" s="47">
        <f t="shared" si="0"/>
        <v>2.40523357794451E-2</v>
      </c>
      <c r="D23" s="65">
        <v>378.33267959</v>
      </c>
      <c r="E23" s="47">
        <f t="shared" si="1"/>
        <v>7.7372062502565342E-2</v>
      </c>
      <c r="F23" s="47"/>
      <c r="G23" s="47"/>
      <c r="H23" s="65">
        <v>308.26103670999998</v>
      </c>
      <c r="I23" s="47">
        <f t="shared" si="2"/>
        <v>3.534880620825831E-2</v>
      </c>
      <c r="J23" s="47"/>
      <c r="K23" s="47"/>
      <c r="L23" s="65">
        <v>61.141677289999997</v>
      </c>
      <c r="M23" s="47">
        <f t="shared" si="3"/>
        <v>9.6385147040078945E-3</v>
      </c>
      <c r="N23" s="47"/>
      <c r="O23" s="47"/>
      <c r="P23" s="65">
        <v>644.86229778999996</v>
      </c>
      <c r="Q23" s="47">
        <f t="shared" si="4"/>
        <v>-7.4994796494884941E-3</v>
      </c>
    </row>
    <row r="24" spans="1:17" ht="14.4" x14ac:dyDescent="0.3">
      <c r="A24" s="63">
        <v>44230</v>
      </c>
      <c r="B24" s="64">
        <v>12174.049804689999</v>
      </c>
      <c r="C24" s="47">
        <f t="shared" si="0"/>
        <v>1.0022176980482467E-2</v>
      </c>
      <c r="D24" s="65">
        <v>387.53239354999999</v>
      </c>
      <c r="E24" s="47">
        <f t="shared" si="1"/>
        <v>2.4316466581659757E-2</v>
      </c>
      <c r="F24" s="47"/>
      <c r="G24" s="47"/>
      <c r="H24" s="65">
        <v>318.73952114999997</v>
      </c>
      <c r="I24" s="47">
        <f t="shared" si="2"/>
        <v>3.3992244209110734E-2</v>
      </c>
      <c r="J24" s="47"/>
      <c r="K24" s="47"/>
      <c r="L24" s="65">
        <v>61.725372329999999</v>
      </c>
      <c r="M24" s="47">
        <f t="shared" si="3"/>
        <v>9.5465984230607148E-3</v>
      </c>
      <c r="N24" s="47"/>
      <c r="O24" s="47"/>
      <c r="P24" s="65">
        <v>646.83771037999998</v>
      </c>
      <c r="Q24" s="47">
        <f t="shared" si="4"/>
        <v>3.063309169678341E-3</v>
      </c>
    </row>
    <row r="25" spans="1:17" ht="14.4" x14ac:dyDescent="0.3">
      <c r="A25" s="63">
        <v>44231</v>
      </c>
      <c r="B25" s="64">
        <v>12285.84960938</v>
      </c>
      <c r="C25" s="47">
        <f t="shared" si="0"/>
        <v>9.1834522187457246E-3</v>
      </c>
      <c r="D25" s="65">
        <v>394.01509071999999</v>
      </c>
      <c r="E25" s="47">
        <f t="shared" si="1"/>
        <v>1.6728142673739121E-2</v>
      </c>
      <c r="F25" s="47"/>
      <c r="G25" s="47"/>
      <c r="H25" s="65">
        <v>335.12656386999998</v>
      </c>
      <c r="I25" s="47">
        <f t="shared" si="2"/>
        <v>5.1412020263054359E-2</v>
      </c>
      <c r="J25" s="47"/>
      <c r="K25" s="47"/>
      <c r="L25" s="65">
        <v>63.573725500000002</v>
      </c>
      <c r="M25" s="47">
        <f t="shared" si="3"/>
        <v>2.9944787697969932E-2</v>
      </c>
      <c r="N25" s="47"/>
      <c r="O25" s="47"/>
      <c r="P25" s="65">
        <v>674.62519092000002</v>
      </c>
      <c r="Q25" s="47">
        <f t="shared" si="4"/>
        <v>4.295896805966315E-2</v>
      </c>
    </row>
    <row r="26" spans="1:17" ht="14.4" x14ac:dyDescent="0.3">
      <c r="A26" s="63">
        <v>44232</v>
      </c>
      <c r="B26" s="64">
        <v>12279.84960938</v>
      </c>
      <c r="C26" s="47">
        <f t="shared" si="0"/>
        <v>-4.8836671380214636E-4</v>
      </c>
      <c r="D26" s="65">
        <v>389.43907199</v>
      </c>
      <c r="E26" s="47">
        <f t="shared" si="1"/>
        <v>-1.1613815911563297E-2</v>
      </c>
      <c r="F26" s="47"/>
      <c r="G26" s="47"/>
      <c r="H26" s="65">
        <v>336.09592900000001</v>
      </c>
      <c r="I26" s="47">
        <f t="shared" si="2"/>
        <v>2.8925344467054526E-3</v>
      </c>
      <c r="J26" s="47"/>
      <c r="K26" s="47"/>
      <c r="L26" s="65">
        <v>63.330520479999997</v>
      </c>
      <c r="M26" s="47">
        <f t="shared" si="3"/>
        <v>-3.8255587207958186E-3</v>
      </c>
      <c r="N26" s="47"/>
      <c r="O26" s="47"/>
      <c r="P26" s="65">
        <v>809.52385993999997</v>
      </c>
      <c r="Q26" s="47">
        <f t="shared" si="4"/>
        <v>0.19996091286783391</v>
      </c>
    </row>
    <row r="27" spans="1:17" ht="14.4" x14ac:dyDescent="0.3">
      <c r="A27" s="63">
        <v>44235</v>
      </c>
      <c r="B27" s="64">
        <v>12441.299804689999</v>
      </c>
      <c r="C27" s="47">
        <f t="shared" si="0"/>
        <v>1.314757105711406E-2</v>
      </c>
      <c r="D27" s="65">
        <v>403.50082551000003</v>
      </c>
      <c r="E27" s="47">
        <f t="shared" si="1"/>
        <v>3.6107711145021204E-2</v>
      </c>
      <c r="F27" s="47"/>
      <c r="G27" s="47"/>
      <c r="H27" s="65">
        <v>345.32806575000001</v>
      </c>
      <c r="I27" s="47">
        <f t="shared" si="2"/>
        <v>2.746875505891655E-2</v>
      </c>
      <c r="J27" s="47"/>
      <c r="K27" s="47"/>
      <c r="L27" s="65">
        <v>62.211781369999997</v>
      </c>
      <c r="M27" s="47">
        <f t="shared" si="3"/>
        <v>-1.7665086304687883E-2</v>
      </c>
      <c r="N27" s="47"/>
      <c r="O27" s="47"/>
      <c r="P27" s="65">
        <v>895.82742768000003</v>
      </c>
      <c r="Q27" s="47">
        <f t="shared" si="4"/>
        <v>0.10661028292161356</v>
      </c>
    </row>
    <row r="28" spans="1:17" ht="14.4" x14ac:dyDescent="0.3">
      <c r="A28" s="63">
        <v>44236</v>
      </c>
      <c r="B28" s="64">
        <v>12434.200195310001</v>
      </c>
      <c r="C28" s="47">
        <f t="shared" si="0"/>
        <v>-5.7064852478860839E-4</v>
      </c>
      <c r="D28" s="65">
        <v>404.12048647</v>
      </c>
      <c r="E28" s="47">
        <f t="shared" si="1"/>
        <v>1.5357117527994291E-3</v>
      </c>
      <c r="F28" s="47"/>
      <c r="G28" s="47"/>
      <c r="H28" s="65">
        <v>346.66673480999998</v>
      </c>
      <c r="I28" s="47">
        <f t="shared" si="2"/>
        <v>3.8765139378189595E-3</v>
      </c>
      <c r="J28" s="47"/>
      <c r="K28" s="47"/>
      <c r="L28" s="65">
        <v>61.57944732</v>
      </c>
      <c r="M28" s="47">
        <f t="shared" si="3"/>
        <v>-1.0164217067491377E-2</v>
      </c>
      <c r="N28" s="47"/>
      <c r="O28" s="47"/>
      <c r="P28" s="65">
        <v>919.75186230999998</v>
      </c>
      <c r="Q28" s="47">
        <f t="shared" si="4"/>
        <v>2.6706521692419161E-2</v>
      </c>
    </row>
    <row r="29" spans="1:17" ht="14.4" x14ac:dyDescent="0.3">
      <c r="A29" s="63">
        <v>44237</v>
      </c>
      <c r="B29" s="64">
        <v>12452.450195310001</v>
      </c>
      <c r="C29" s="47">
        <f t="shared" si="0"/>
        <v>1.4677260871900355E-3</v>
      </c>
      <c r="D29" s="65">
        <v>403.92983769</v>
      </c>
      <c r="E29" s="47">
        <f t="shared" si="1"/>
        <v>-4.7176222533362733E-4</v>
      </c>
      <c r="F29" s="47"/>
      <c r="G29" s="47"/>
      <c r="H29" s="65">
        <v>337.24994608999998</v>
      </c>
      <c r="I29" s="47">
        <f t="shared" si="2"/>
        <v>-2.7163808275867951E-2</v>
      </c>
      <c r="J29" s="47"/>
      <c r="K29" s="47"/>
      <c r="L29" s="65">
        <v>61.238962290000003</v>
      </c>
      <c r="M29" s="47">
        <f t="shared" si="3"/>
        <v>-5.5291991860636491E-3</v>
      </c>
      <c r="N29" s="47"/>
      <c r="O29" s="47"/>
      <c r="P29" s="65">
        <v>897.58334951999996</v>
      </c>
      <c r="Q29" s="47">
        <f t="shared" si="4"/>
        <v>-2.4102710414005357E-2</v>
      </c>
    </row>
    <row r="30" spans="1:17" ht="14.4" x14ac:dyDescent="0.3">
      <c r="A30" s="63">
        <v>44238</v>
      </c>
      <c r="B30" s="64">
        <v>12514.09960938</v>
      </c>
      <c r="C30" s="47">
        <f t="shared" si="0"/>
        <v>4.9507858375710256E-3</v>
      </c>
      <c r="D30" s="65">
        <v>414.98855358999998</v>
      </c>
      <c r="E30" s="47">
        <f t="shared" si="1"/>
        <v>2.7377813838271425E-2</v>
      </c>
      <c r="F30" s="47"/>
      <c r="G30" s="47"/>
      <c r="H30" s="65">
        <v>331.01825379000002</v>
      </c>
      <c r="I30" s="47">
        <f t="shared" si="2"/>
        <v>-1.8477963813630871E-2</v>
      </c>
      <c r="J30" s="47"/>
      <c r="K30" s="47"/>
      <c r="L30" s="65">
        <v>61.238962290000003</v>
      </c>
      <c r="M30" s="47">
        <f t="shared" si="3"/>
        <v>0</v>
      </c>
      <c r="N30" s="47"/>
      <c r="O30" s="47"/>
      <c r="P30" s="65">
        <v>922.16625536000004</v>
      </c>
      <c r="Q30" s="47">
        <f t="shared" si="4"/>
        <v>2.7387880861589275E-2</v>
      </c>
    </row>
    <row r="31" spans="1:17" ht="14.4" x14ac:dyDescent="0.3">
      <c r="A31" s="63">
        <v>44239</v>
      </c>
      <c r="B31" s="64">
        <v>12508.549804689999</v>
      </c>
      <c r="C31" s="47">
        <f t="shared" si="0"/>
        <v>-4.4348413895001215E-4</v>
      </c>
      <c r="D31" s="65">
        <v>409.93586525000001</v>
      </c>
      <c r="E31" s="47">
        <f t="shared" si="1"/>
        <v>-1.2175488447307647E-2</v>
      </c>
      <c r="F31" s="47"/>
      <c r="G31" s="47"/>
      <c r="H31" s="65">
        <v>336.69603634999999</v>
      </c>
      <c r="I31" s="47">
        <f t="shared" si="2"/>
        <v>1.7152475716949445E-2</v>
      </c>
      <c r="J31" s="47"/>
      <c r="K31" s="47"/>
      <c r="L31" s="65">
        <v>61.871291360000001</v>
      </c>
      <c r="M31" s="47">
        <f t="shared" si="3"/>
        <v>1.0325600669155222E-2</v>
      </c>
      <c r="N31" s="47"/>
      <c r="O31" s="47"/>
      <c r="P31" s="65">
        <v>938.54022646999999</v>
      </c>
      <c r="Q31" s="47">
        <f t="shared" si="4"/>
        <v>1.7755985989324374E-2</v>
      </c>
    </row>
    <row r="32" spans="1:17" ht="14.4" x14ac:dyDescent="0.3">
      <c r="A32" s="63">
        <v>44242</v>
      </c>
      <c r="B32" s="64">
        <v>12632.049804689999</v>
      </c>
      <c r="C32" s="47">
        <f t="shared" si="0"/>
        <v>9.873246853419726E-3</v>
      </c>
      <c r="D32" s="65">
        <v>416.65689723000003</v>
      </c>
      <c r="E32" s="47">
        <f t="shared" si="1"/>
        <v>1.6395325585628395E-2</v>
      </c>
      <c r="F32" s="47"/>
      <c r="G32" s="47"/>
      <c r="H32" s="65">
        <v>341.08130131000001</v>
      </c>
      <c r="I32" s="47">
        <f t="shared" si="2"/>
        <v>1.3024403279406238E-2</v>
      </c>
      <c r="J32" s="47"/>
      <c r="K32" s="47"/>
      <c r="L32" s="65">
        <v>61.62808733</v>
      </c>
      <c r="M32" s="47">
        <f t="shared" si="3"/>
        <v>-3.9308057849465339E-3</v>
      </c>
      <c r="N32" s="47"/>
      <c r="O32" s="47"/>
      <c r="P32" s="65">
        <v>938.27683839999997</v>
      </c>
      <c r="Q32" s="47">
        <f t="shared" si="4"/>
        <v>-2.8063588812876628E-4</v>
      </c>
    </row>
    <row r="33" spans="1:17" ht="14.4" x14ac:dyDescent="0.3">
      <c r="A33" s="63">
        <v>44243</v>
      </c>
      <c r="B33" s="64">
        <v>12647.200195310001</v>
      </c>
      <c r="C33" s="47">
        <f t="shared" si="0"/>
        <v>1.1993612164493683E-3</v>
      </c>
      <c r="D33" s="65">
        <v>408.93486860000002</v>
      </c>
      <c r="E33" s="47">
        <f t="shared" si="1"/>
        <v>-1.8533303255837796E-2</v>
      </c>
      <c r="F33" s="47"/>
      <c r="G33" s="47"/>
      <c r="H33" s="65">
        <v>342.60460387000001</v>
      </c>
      <c r="I33" s="47">
        <f t="shared" si="2"/>
        <v>4.4660981242576892E-3</v>
      </c>
      <c r="J33" s="47"/>
      <c r="K33" s="47"/>
      <c r="L33" s="65">
        <v>61.530807320000001</v>
      </c>
      <c r="M33" s="47">
        <f t="shared" si="3"/>
        <v>-1.578501203178595E-3</v>
      </c>
      <c r="N33" s="47"/>
      <c r="O33" s="47"/>
      <c r="P33" s="65">
        <v>924.53675006000003</v>
      </c>
      <c r="Q33" s="47">
        <f t="shared" si="4"/>
        <v>-1.4643959839646392E-2</v>
      </c>
    </row>
    <row r="34" spans="1:17" ht="14.4" x14ac:dyDescent="0.3">
      <c r="A34" s="63">
        <v>44244</v>
      </c>
      <c r="B34" s="64">
        <v>12597.450195310001</v>
      </c>
      <c r="C34" s="47">
        <f t="shared" si="0"/>
        <v>-3.9336769586717502E-3</v>
      </c>
      <c r="D34" s="65">
        <v>413.27255252999998</v>
      </c>
      <c r="E34" s="47">
        <f t="shared" si="1"/>
        <v>1.0607273341229462E-2</v>
      </c>
      <c r="F34" s="47"/>
      <c r="G34" s="47"/>
      <c r="H34" s="65">
        <v>354.22630845999998</v>
      </c>
      <c r="I34" s="47">
        <f t="shared" si="2"/>
        <v>3.3921624107566828E-2</v>
      </c>
      <c r="J34" s="47"/>
      <c r="K34" s="47"/>
      <c r="L34" s="65">
        <v>60.606628239999999</v>
      </c>
      <c r="M34" s="47">
        <f t="shared" si="3"/>
        <v>-1.5019778225786484E-2</v>
      </c>
      <c r="N34" s="47"/>
      <c r="O34" s="47"/>
      <c r="P34" s="65">
        <v>894.11540419000005</v>
      </c>
      <c r="Q34" s="47">
        <f t="shared" si="4"/>
        <v>-3.2904420368390697E-2</v>
      </c>
    </row>
    <row r="35" spans="1:17" ht="14.4" x14ac:dyDescent="0.3">
      <c r="A35" s="63">
        <v>44245</v>
      </c>
      <c r="B35" s="64">
        <v>12565.700195310001</v>
      </c>
      <c r="C35" s="47">
        <f t="shared" si="0"/>
        <v>-2.5203513018706714E-3</v>
      </c>
      <c r="D35" s="65">
        <v>412.12853593</v>
      </c>
      <c r="E35" s="47">
        <f t="shared" si="1"/>
        <v>-2.7681891599053987E-3</v>
      </c>
      <c r="F35" s="47"/>
      <c r="G35" s="47"/>
      <c r="H35" s="65">
        <v>358.71437197</v>
      </c>
      <c r="I35" s="47">
        <f t="shared" si="2"/>
        <v>1.2670045682128706E-2</v>
      </c>
      <c r="J35" s="47"/>
      <c r="K35" s="47"/>
      <c r="L35" s="65">
        <v>62.503626400000002</v>
      </c>
      <c r="M35" s="47">
        <f t="shared" si="3"/>
        <v>3.1300176483799014E-2</v>
      </c>
      <c r="N35" s="47"/>
      <c r="O35" s="47"/>
      <c r="P35" s="65">
        <v>878.53159729000004</v>
      </c>
      <c r="Q35" s="47">
        <f t="shared" si="4"/>
        <v>-1.742930143801491E-2</v>
      </c>
    </row>
    <row r="36" spans="1:17" ht="14.4" x14ac:dyDescent="0.3">
      <c r="A36" s="63">
        <v>44246</v>
      </c>
      <c r="B36" s="64">
        <v>12438.799804689999</v>
      </c>
      <c r="C36" s="47">
        <f t="shared" si="0"/>
        <v>-1.0098951005322099E-2</v>
      </c>
      <c r="D36" s="65">
        <v>411.60420889</v>
      </c>
      <c r="E36" s="47">
        <f t="shared" si="1"/>
        <v>-1.2722415321637648E-3</v>
      </c>
      <c r="F36" s="47"/>
      <c r="G36" s="47"/>
      <c r="H36" s="65">
        <v>358.95058583999997</v>
      </c>
      <c r="I36" s="47">
        <f t="shared" si="2"/>
        <v>6.5850127136735104E-4</v>
      </c>
      <c r="J36" s="47"/>
      <c r="K36" s="47"/>
      <c r="L36" s="65">
        <v>61.725372329999999</v>
      </c>
      <c r="M36" s="47">
        <f t="shared" si="3"/>
        <v>-1.2451342663215459E-2</v>
      </c>
      <c r="N36" s="47"/>
      <c r="O36" s="47"/>
      <c r="P36" s="65">
        <v>876.51226994000001</v>
      </c>
      <c r="Q36" s="47">
        <f t="shared" si="4"/>
        <v>-2.298525580900046E-3</v>
      </c>
    </row>
    <row r="37" spans="1:17" ht="14.4" x14ac:dyDescent="0.3">
      <c r="A37" s="63">
        <v>44249</v>
      </c>
      <c r="B37" s="64">
        <v>12212.549804689999</v>
      </c>
      <c r="C37" s="47">
        <f t="shared" si="0"/>
        <v>-1.8189053892055829E-2</v>
      </c>
      <c r="D37" s="65">
        <v>392.63276791999999</v>
      </c>
      <c r="E37" s="47">
        <f t="shared" si="1"/>
        <v>-4.6091464956496742E-2</v>
      </c>
      <c r="F37" s="47"/>
      <c r="G37" s="47"/>
      <c r="H37" s="65">
        <v>355.73808666999997</v>
      </c>
      <c r="I37" s="47">
        <f t="shared" si="2"/>
        <v>-8.9496975258649414E-3</v>
      </c>
      <c r="J37" s="47"/>
      <c r="K37" s="47"/>
      <c r="L37" s="65">
        <v>59.682449159999997</v>
      </c>
      <c r="M37" s="47">
        <f t="shared" si="3"/>
        <v>-3.3096976055130178E-2</v>
      </c>
      <c r="N37" s="47"/>
      <c r="O37" s="47"/>
      <c r="P37" s="65">
        <v>812.02607534000003</v>
      </c>
      <c r="Q37" s="47">
        <f t="shared" si="4"/>
        <v>-7.3571354117397902E-2</v>
      </c>
    </row>
    <row r="38" spans="1:17" ht="14.4" x14ac:dyDescent="0.3">
      <c r="A38" s="63">
        <v>44250</v>
      </c>
      <c r="B38" s="64">
        <v>12263.700195310001</v>
      </c>
      <c r="C38" s="47">
        <f t="shared" si="0"/>
        <v>4.1883465318894864E-3</v>
      </c>
      <c r="D38" s="65">
        <v>399.97346085999999</v>
      </c>
      <c r="E38" s="47">
        <f t="shared" si="1"/>
        <v>1.869607821804542E-2</v>
      </c>
      <c r="F38" s="47"/>
      <c r="G38" s="47"/>
      <c r="H38" s="65">
        <v>357.72229262000002</v>
      </c>
      <c r="I38" s="47">
        <f t="shared" si="2"/>
        <v>5.577715809329975E-3</v>
      </c>
      <c r="J38" s="47"/>
      <c r="K38" s="47"/>
      <c r="L38" s="65">
        <v>59.390604140000001</v>
      </c>
      <c r="M38" s="47">
        <f t="shared" si="3"/>
        <v>-4.8899638689022806E-3</v>
      </c>
      <c r="N38" s="47"/>
      <c r="O38" s="47"/>
      <c r="P38" s="65">
        <v>849.73446178999995</v>
      </c>
      <c r="Q38" s="47">
        <f t="shared" si="4"/>
        <v>4.6437408348261711E-2</v>
      </c>
    </row>
    <row r="39" spans="1:17" ht="14.4" x14ac:dyDescent="0.3">
      <c r="A39" s="63">
        <v>44251</v>
      </c>
      <c r="B39" s="64">
        <v>12455.200195310001</v>
      </c>
      <c r="C39" s="47">
        <f t="shared" si="0"/>
        <v>1.5615189294437837E-2</v>
      </c>
      <c r="D39" s="65">
        <v>398.40045113999997</v>
      </c>
      <c r="E39" s="47">
        <f t="shared" si="1"/>
        <v>-3.9327852318447043E-3</v>
      </c>
      <c r="F39" s="47"/>
      <c r="G39" s="47"/>
      <c r="H39" s="65">
        <v>363.72212488999998</v>
      </c>
      <c r="I39" s="47">
        <f t="shared" si="2"/>
        <v>1.677231862195816E-2</v>
      </c>
      <c r="J39" s="47"/>
      <c r="K39" s="47"/>
      <c r="L39" s="65">
        <v>59.390604140000001</v>
      </c>
      <c r="M39" s="47">
        <f t="shared" si="3"/>
        <v>0</v>
      </c>
      <c r="N39" s="47"/>
      <c r="O39" s="47"/>
      <c r="P39" s="65">
        <v>846.17872897999996</v>
      </c>
      <c r="Q39" s="47">
        <f t="shared" si="4"/>
        <v>-4.1845223065446469E-3</v>
      </c>
    </row>
    <row r="40" spans="1:17" ht="14.4" x14ac:dyDescent="0.3">
      <c r="A40" s="63">
        <v>44252</v>
      </c>
      <c r="B40" s="64">
        <v>12567.84960938</v>
      </c>
      <c r="C40" s="47">
        <f t="shared" si="0"/>
        <v>9.0443679991927262E-3</v>
      </c>
      <c r="D40" s="65">
        <v>410.79386102000001</v>
      </c>
      <c r="E40" s="47">
        <f t="shared" si="1"/>
        <v>3.1107921300131514E-2</v>
      </c>
      <c r="F40" s="47"/>
      <c r="G40" s="47"/>
      <c r="H40" s="65">
        <v>371.04475482999999</v>
      </c>
      <c r="I40" s="47">
        <f t="shared" si="2"/>
        <v>2.0132484220514835E-2</v>
      </c>
      <c r="J40" s="47"/>
      <c r="K40" s="47"/>
      <c r="L40" s="65">
        <v>59.925653189999998</v>
      </c>
      <c r="M40" s="47">
        <f t="shared" si="3"/>
        <v>9.0089848006722484E-3</v>
      </c>
      <c r="N40" s="47"/>
      <c r="O40" s="47"/>
      <c r="P40" s="65">
        <v>871.42010500000004</v>
      </c>
      <c r="Q40" s="47">
        <f t="shared" si="4"/>
        <v>2.9829839909148337E-2</v>
      </c>
    </row>
    <row r="41" spans="1:17" ht="14.4" x14ac:dyDescent="0.3">
      <c r="A41" s="63">
        <v>44253</v>
      </c>
      <c r="B41" s="64">
        <v>12181.40039063</v>
      </c>
      <c r="C41" s="47">
        <f t="shared" si="0"/>
        <v>-3.0749032711337776E-2</v>
      </c>
      <c r="D41" s="65">
        <v>410.55552620999998</v>
      </c>
      <c r="E41" s="47">
        <f t="shared" si="1"/>
        <v>-5.8018104118751079E-4</v>
      </c>
      <c r="F41" s="47"/>
      <c r="G41" s="47"/>
      <c r="H41" s="65">
        <v>360.65134459000001</v>
      </c>
      <c r="I41" s="47">
        <f t="shared" si="2"/>
        <v>-2.8011203782578376E-2</v>
      </c>
      <c r="J41" s="47"/>
      <c r="K41" s="47"/>
      <c r="L41" s="65">
        <v>60.50934822</v>
      </c>
      <c r="M41" s="47">
        <f t="shared" si="3"/>
        <v>9.7403198618351006E-3</v>
      </c>
      <c r="N41" s="47"/>
      <c r="O41" s="47"/>
      <c r="P41" s="65">
        <v>841.30605477999995</v>
      </c>
      <c r="Q41" s="47">
        <f t="shared" si="4"/>
        <v>-3.4557442555218643E-2</v>
      </c>
    </row>
    <row r="42" spans="1:17" ht="14.4" x14ac:dyDescent="0.3">
      <c r="A42" s="63">
        <v>44256</v>
      </c>
      <c r="B42" s="64">
        <v>12368.299804689999</v>
      </c>
      <c r="C42" s="47">
        <f t="shared" si="0"/>
        <v>1.534301542241101E-2</v>
      </c>
      <c r="D42" s="65">
        <v>430.24198114000001</v>
      </c>
      <c r="E42" s="47">
        <f t="shared" si="1"/>
        <v>4.795077321631358E-2</v>
      </c>
      <c r="F42" s="47"/>
      <c r="G42" s="47"/>
      <c r="H42" s="65">
        <v>366.55669132000003</v>
      </c>
      <c r="I42" s="47">
        <f t="shared" si="2"/>
        <v>1.637411538480027E-2</v>
      </c>
      <c r="J42" s="47"/>
      <c r="K42" s="47"/>
      <c r="L42" s="65">
        <v>61.044397279999998</v>
      </c>
      <c r="M42" s="47">
        <f t="shared" si="3"/>
        <v>8.8424198200691695E-3</v>
      </c>
      <c r="N42" s="47"/>
      <c r="O42" s="47"/>
      <c r="P42" s="65">
        <v>869.26909180999996</v>
      </c>
      <c r="Q42" s="47">
        <f t="shared" si="4"/>
        <v>3.3237650996476242E-2</v>
      </c>
    </row>
    <row r="43" spans="1:17" ht="14.4" x14ac:dyDescent="0.3">
      <c r="A43" s="63">
        <v>44257</v>
      </c>
      <c r="B43" s="64">
        <v>12519.40039063</v>
      </c>
      <c r="C43" s="47">
        <f t="shared" si="0"/>
        <v>1.2216762879786014E-2</v>
      </c>
      <c r="D43" s="65">
        <v>441.44371698999998</v>
      </c>
      <c r="E43" s="47">
        <f t="shared" si="1"/>
        <v>2.6035896869754716E-2</v>
      </c>
      <c r="F43" s="47"/>
      <c r="G43" s="47"/>
      <c r="H43" s="65">
        <v>369.72193826</v>
      </c>
      <c r="I43" s="47">
        <f t="shared" si="2"/>
        <v>8.6350815984335139E-3</v>
      </c>
      <c r="J43" s="47"/>
      <c r="K43" s="47"/>
      <c r="L43" s="65">
        <v>60.752553239999997</v>
      </c>
      <c r="M43" s="47">
        <f t="shared" si="3"/>
        <v>-4.7808489067614479E-3</v>
      </c>
      <c r="N43" s="47"/>
      <c r="O43" s="47"/>
      <c r="P43" s="65">
        <v>877.21467335</v>
      </c>
      <c r="Q43" s="47">
        <f t="shared" si="4"/>
        <v>9.1405315279939892E-3</v>
      </c>
    </row>
    <row r="44" spans="1:17" ht="14.4" x14ac:dyDescent="0.3">
      <c r="A44" s="63">
        <v>44258</v>
      </c>
      <c r="B44" s="64">
        <v>12764.799804689999</v>
      </c>
      <c r="C44" s="47">
        <f t="shared" si="0"/>
        <v>1.9601530936231182E-2</v>
      </c>
      <c r="D44" s="65">
        <v>439.44172369</v>
      </c>
      <c r="E44" s="47">
        <f t="shared" si="1"/>
        <v>-4.535104301972237E-3</v>
      </c>
      <c r="F44" s="47"/>
      <c r="G44" s="47"/>
      <c r="H44" s="65">
        <v>376.95010155</v>
      </c>
      <c r="I44" s="47">
        <f t="shared" si="2"/>
        <v>1.9550268842626561E-2</v>
      </c>
      <c r="J44" s="47"/>
      <c r="K44" s="47"/>
      <c r="L44" s="65">
        <v>60.752553239999997</v>
      </c>
      <c r="M44" s="47">
        <f t="shared" si="3"/>
        <v>0</v>
      </c>
      <c r="N44" s="47"/>
      <c r="O44" s="47"/>
      <c r="P44" s="65">
        <v>907.59210444999997</v>
      </c>
      <c r="Q44" s="47">
        <f t="shared" si="4"/>
        <v>3.4629415151015808E-2</v>
      </c>
    </row>
    <row r="45" spans="1:17" ht="14.4" x14ac:dyDescent="0.3">
      <c r="A45" s="63">
        <v>44259</v>
      </c>
      <c r="B45" s="64">
        <v>12688.84960938</v>
      </c>
      <c r="C45" s="47">
        <f t="shared" si="0"/>
        <v>-5.9499715210648008E-3</v>
      </c>
      <c r="D45" s="65">
        <v>451.07244313000001</v>
      </c>
      <c r="E45" s="47">
        <f t="shared" si="1"/>
        <v>2.6467034905872433E-2</v>
      </c>
      <c r="F45" s="47"/>
      <c r="G45" s="47"/>
      <c r="H45" s="65">
        <v>375.67454665999998</v>
      </c>
      <c r="I45" s="47">
        <f t="shared" si="2"/>
        <v>-3.383882600787258E-3</v>
      </c>
      <c r="J45" s="47"/>
      <c r="K45" s="47"/>
      <c r="L45" s="65">
        <v>61.336242300000002</v>
      </c>
      <c r="M45" s="47">
        <f t="shared" si="3"/>
        <v>9.6076465740324579E-3</v>
      </c>
      <c r="N45" s="47"/>
      <c r="O45" s="47"/>
      <c r="P45" s="65">
        <v>931.07755863</v>
      </c>
      <c r="Q45" s="47">
        <f t="shared" si="4"/>
        <v>2.5876662065314138E-2</v>
      </c>
    </row>
    <row r="46" spans="1:17" ht="14.4" x14ac:dyDescent="0.3">
      <c r="A46" s="63">
        <v>44260</v>
      </c>
      <c r="B46" s="64">
        <v>12539</v>
      </c>
      <c r="C46" s="47">
        <f t="shared" si="0"/>
        <v>-1.1809550431524318E-2</v>
      </c>
      <c r="D46" s="65">
        <v>438.05937229</v>
      </c>
      <c r="E46" s="47">
        <f t="shared" si="1"/>
        <v>-2.8849181629678089E-2</v>
      </c>
      <c r="F46" s="47"/>
      <c r="G46" s="47"/>
      <c r="H46" s="65">
        <v>372.98169910000001</v>
      </c>
      <c r="I46" s="47">
        <f t="shared" si="2"/>
        <v>-7.1680330326906461E-3</v>
      </c>
      <c r="J46" s="47"/>
      <c r="K46" s="47"/>
      <c r="L46" s="65">
        <v>60.655268249999999</v>
      </c>
      <c r="M46" s="47">
        <f t="shared" si="3"/>
        <v>-1.1102311202393356E-2</v>
      </c>
      <c r="N46" s="47"/>
      <c r="O46" s="47"/>
      <c r="P46" s="65">
        <v>908.38226867000003</v>
      </c>
      <c r="Q46" s="47">
        <f t="shared" si="4"/>
        <v>-2.437529478574707E-2</v>
      </c>
    </row>
    <row r="47" spans="1:17" ht="14.4" x14ac:dyDescent="0.3">
      <c r="A47" s="63">
        <v>44263</v>
      </c>
      <c r="B47" s="64">
        <v>12558.950195310001</v>
      </c>
      <c r="C47" s="47">
        <f t="shared" si="0"/>
        <v>1.5910515439827577E-3</v>
      </c>
      <c r="D47" s="65">
        <v>445.44775126000002</v>
      </c>
      <c r="E47" s="47">
        <f t="shared" si="1"/>
        <v>1.6866158875625814E-2</v>
      </c>
      <c r="F47" s="47"/>
      <c r="G47" s="47"/>
      <c r="H47" s="65">
        <v>367.97397453000002</v>
      </c>
      <c r="I47" s="47">
        <f t="shared" si="2"/>
        <v>-1.3426193783994123E-2</v>
      </c>
      <c r="J47" s="47"/>
      <c r="K47" s="47"/>
      <c r="L47" s="65">
        <v>60.120218199999997</v>
      </c>
      <c r="M47" s="47">
        <f t="shared" si="3"/>
        <v>-8.8211636917457925E-3</v>
      </c>
      <c r="N47" s="47"/>
      <c r="O47" s="47"/>
      <c r="P47" s="65">
        <v>888.84763865000002</v>
      </c>
      <c r="Q47" s="47">
        <f t="shared" si="4"/>
        <v>-2.150485615334774E-2</v>
      </c>
    </row>
    <row r="48" spans="1:17" ht="14.4" x14ac:dyDescent="0.3">
      <c r="A48" s="63">
        <v>44264</v>
      </c>
      <c r="B48" s="64">
        <v>12617.200195310001</v>
      </c>
      <c r="C48" s="47">
        <f t="shared" si="0"/>
        <v>4.6381265228483404E-3</v>
      </c>
      <c r="D48" s="65">
        <v>434.62734155999999</v>
      </c>
      <c r="E48" s="47">
        <f t="shared" si="1"/>
        <v>-2.4291086147350094E-2</v>
      </c>
      <c r="F48" s="47"/>
      <c r="G48" s="47"/>
      <c r="H48" s="65">
        <v>371.51718255999998</v>
      </c>
      <c r="I48" s="47">
        <f t="shared" si="2"/>
        <v>9.6289636638720033E-3</v>
      </c>
      <c r="J48" s="47"/>
      <c r="K48" s="47"/>
      <c r="L48" s="65">
        <v>59.293324120000001</v>
      </c>
      <c r="M48" s="47">
        <f t="shared" si="3"/>
        <v>-1.3754009961327696E-2</v>
      </c>
      <c r="N48" s="47"/>
      <c r="O48" s="47"/>
      <c r="P48" s="65">
        <v>887.26730816999998</v>
      </c>
      <c r="Q48" s="47">
        <f t="shared" si="4"/>
        <v>-1.7779542986695596E-3</v>
      </c>
    </row>
    <row r="49" spans="1:17" ht="14.4" x14ac:dyDescent="0.3">
      <c r="A49" s="63">
        <v>44265</v>
      </c>
      <c r="B49" s="64">
        <v>12691.34960938</v>
      </c>
      <c r="C49" s="47">
        <f t="shared" si="0"/>
        <v>5.8768516724940767E-3</v>
      </c>
      <c r="D49" s="65">
        <v>427.81097566</v>
      </c>
      <c r="E49" s="47">
        <f t="shared" si="1"/>
        <v>-1.56832422818457E-2</v>
      </c>
      <c r="F49" s="47"/>
      <c r="G49" s="47"/>
      <c r="H49" s="65">
        <v>365.32836029999999</v>
      </c>
      <c r="I49" s="47">
        <f t="shared" si="2"/>
        <v>-1.6658239646831108E-2</v>
      </c>
      <c r="J49" s="47"/>
      <c r="K49" s="47"/>
      <c r="L49" s="65">
        <v>59.244684110000001</v>
      </c>
      <c r="M49" s="47">
        <f t="shared" si="3"/>
        <v>-8.2032860734138069E-4</v>
      </c>
      <c r="N49" s="47"/>
      <c r="O49" s="47"/>
      <c r="P49" s="65">
        <v>892.57897205999996</v>
      </c>
      <c r="Q49" s="47">
        <f t="shared" si="4"/>
        <v>5.9865429967833617E-3</v>
      </c>
    </row>
    <row r="50" spans="1:17" ht="14.4" x14ac:dyDescent="0.3">
      <c r="A50" s="63">
        <v>44267</v>
      </c>
      <c r="B50" s="64">
        <v>12593.90039063</v>
      </c>
      <c r="C50" s="47">
        <f t="shared" si="0"/>
        <v>-7.6783968411032744E-3</v>
      </c>
      <c r="D50" s="65">
        <v>439.15570286000002</v>
      </c>
      <c r="E50" s="47">
        <f t="shared" si="1"/>
        <v>2.6518083558978667E-2</v>
      </c>
      <c r="F50" s="47"/>
      <c r="G50" s="47"/>
      <c r="H50" s="65">
        <v>375.29660446999998</v>
      </c>
      <c r="I50" s="47">
        <f t="shared" si="2"/>
        <v>2.7285711303152826E-2</v>
      </c>
      <c r="J50" s="47"/>
      <c r="K50" s="47"/>
      <c r="L50" s="65">
        <v>57.882736000000001</v>
      </c>
      <c r="M50" s="47">
        <f t="shared" si="3"/>
        <v>-2.2988528514579665E-2</v>
      </c>
      <c r="N50" s="47"/>
      <c r="O50" s="47"/>
      <c r="P50" s="65">
        <v>900.30502796999997</v>
      </c>
      <c r="Q50" s="47">
        <f t="shared" si="4"/>
        <v>8.6558793696078773E-3</v>
      </c>
    </row>
    <row r="51" spans="1:17" ht="14.4" x14ac:dyDescent="0.3">
      <c r="A51" s="63">
        <v>44270</v>
      </c>
      <c r="B51" s="64">
        <v>12510.15039063</v>
      </c>
      <c r="C51" s="47">
        <f t="shared" si="0"/>
        <v>-6.6500446567221427E-3</v>
      </c>
      <c r="D51" s="65">
        <v>438.15471573999997</v>
      </c>
      <c r="E51" s="47">
        <f t="shared" si="1"/>
        <v>-2.2793444636631799E-3</v>
      </c>
      <c r="F51" s="47"/>
      <c r="G51" s="47"/>
      <c r="H51" s="65">
        <v>373.92655458000002</v>
      </c>
      <c r="I51" s="47">
        <f t="shared" si="2"/>
        <v>-3.6505789652288012E-3</v>
      </c>
      <c r="J51" s="47"/>
      <c r="K51" s="47"/>
      <c r="L51" s="65">
        <v>57.007195940000003</v>
      </c>
      <c r="M51" s="47">
        <f t="shared" si="3"/>
        <v>-1.5126100120768315E-2</v>
      </c>
      <c r="N51" s="47"/>
      <c r="O51" s="47"/>
      <c r="P51" s="65">
        <v>879.10227179000003</v>
      </c>
      <c r="Q51" s="47">
        <f t="shared" si="4"/>
        <v>-2.3550636196942865E-2</v>
      </c>
    </row>
    <row r="52" spans="1:17" ht="14.4" x14ac:dyDescent="0.3">
      <c r="A52" s="63">
        <v>44271</v>
      </c>
      <c r="B52" s="64">
        <v>12512.700195310001</v>
      </c>
      <c r="C52" s="47">
        <f t="shared" si="0"/>
        <v>2.0381886711051678E-4</v>
      </c>
      <c r="D52" s="65">
        <v>437.58270268000001</v>
      </c>
      <c r="E52" s="47">
        <f t="shared" si="1"/>
        <v>-1.305504743989494E-3</v>
      </c>
      <c r="F52" s="47"/>
      <c r="G52" s="47"/>
      <c r="H52" s="65">
        <v>368.35191672000002</v>
      </c>
      <c r="I52" s="47">
        <f t="shared" si="2"/>
        <v>-1.4908376502603571E-2</v>
      </c>
      <c r="J52" s="47"/>
      <c r="K52" s="47"/>
      <c r="L52" s="65">
        <v>65.032953629999994</v>
      </c>
      <c r="M52" s="47">
        <f t="shared" si="3"/>
        <v>0.14078499315151527</v>
      </c>
      <c r="N52" s="47"/>
      <c r="O52" s="47"/>
      <c r="P52" s="65">
        <v>873.26384918999997</v>
      </c>
      <c r="Q52" s="47">
        <f t="shared" si="4"/>
        <v>-6.6413462771652831E-3</v>
      </c>
    </row>
    <row r="53" spans="1:17" ht="14.4" x14ac:dyDescent="0.3">
      <c r="A53" s="63">
        <v>44272</v>
      </c>
      <c r="B53" s="64">
        <v>12319.90039063</v>
      </c>
      <c r="C53" s="47">
        <f t="shared" si="0"/>
        <v>-1.5408329271108467E-2</v>
      </c>
      <c r="D53" s="65">
        <v>435.43768942999998</v>
      </c>
      <c r="E53" s="47">
        <f t="shared" si="1"/>
        <v>-4.9019607878985072E-3</v>
      </c>
      <c r="F53" s="47"/>
      <c r="G53" s="47"/>
      <c r="H53" s="65">
        <v>357.29708875</v>
      </c>
      <c r="I53" s="47">
        <f t="shared" si="2"/>
        <v>-3.0011593446935381E-2</v>
      </c>
      <c r="J53" s="47"/>
      <c r="K53" s="47"/>
      <c r="L53" s="65">
        <v>63.671006509999998</v>
      </c>
      <c r="M53" s="47">
        <f t="shared" si="3"/>
        <v>-2.0942415252253377E-2</v>
      </c>
      <c r="N53" s="47"/>
      <c r="O53" s="47"/>
      <c r="P53" s="65">
        <v>833.49218471999995</v>
      </c>
      <c r="Q53" s="47">
        <f t="shared" si="4"/>
        <v>-4.5543697368086833E-2</v>
      </c>
    </row>
    <row r="54" spans="1:17" ht="14.4" x14ac:dyDescent="0.3">
      <c r="A54" s="63">
        <v>44273</v>
      </c>
      <c r="B54" s="64">
        <v>12174.450195310001</v>
      </c>
      <c r="C54" s="47">
        <f t="shared" si="0"/>
        <v>-1.1806117801944516E-2</v>
      </c>
      <c r="D54" s="65">
        <v>425.80895376000001</v>
      </c>
      <c r="E54" s="47">
        <f t="shared" si="1"/>
        <v>-2.2112775039304089E-2</v>
      </c>
      <c r="F54" s="47"/>
      <c r="G54" s="47"/>
      <c r="H54" s="65">
        <v>358.00573035999997</v>
      </c>
      <c r="I54" s="47">
        <f t="shared" si="2"/>
        <v>1.9833400055935257E-3</v>
      </c>
      <c r="J54" s="47"/>
      <c r="K54" s="47"/>
      <c r="L54" s="65">
        <v>62.309065369999999</v>
      </c>
      <c r="M54" s="47">
        <f t="shared" si="3"/>
        <v>-2.1390287583817225E-2</v>
      </c>
      <c r="N54" s="47"/>
      <c r="O54" s="47"/>
      <c r="P54" s="65">
        <v>822.64938466000001</v>
      </c>
      <c r="Q54" s="47">
        <f t="shared" si="4"/>
        <v>-1.3008880297590841E-2</v>
      </c>
    </row>
    <row r="55" spans="1:17" ht="14.4" x14ac:dyDescent="0.3">
      <c r="A55" s="63">
        <v>44274</v>
      </c>
      <c r="B55" s="64">
        <v>12314.5</v>
      </c>
      <c r="C55" s="47">
        <f t="shared" si="0"/>
        <v>1.1503583524778094E-2</v>
      </c>
      <c r="D55" s="65">
        <v>434.48435021</v>
      </c>
      <c r="E55" s="47">
        <f t="shared" si="1"/>
        <v>2.0373917395099417E-2</v>
      </c>
      <c r="F55" s="47"/>
      <c r="G55" s="47"/>
      <c r="H55" s="65">
        <v>367.97397453000002</v>
      </c>
      <c r="I55" s="47">
        <f t="shared" si="2"/>
        <v>2.7843811773560878E-2</v>
      </c>
      <c r="J55" s="47"/>
      <c r="K55" s="47"/>
      <c r="L55" s="65">
        <v>62.309065369999999</v>
      </c>
      <c r="M55" s="47">
        <f t="shared" si="3"/>
        <v>0</v>
      </c>
      <c r="N55" s="47"/>
      <c r="O55" s="47"/>
      <c r="P55" s="65">
        <v>808.68978814000002</v>
      </c>
      <c r="Q55" s="47">
        <f t="shared" si="4"/>
        <v>-1.696907185528318E-2</v>
      </c>
    </row>
    <row r="56" spans="1:17" ht="14.4" x14ac:dyDescent="0.3">
      <c r="A56" s="63">
        <v>44277</v>
      </c>
      <c r="B56" s="64">
        <v>12338.59960938</v>
      </c>
      <c r="C56" s="47">
        <f t="shared" si="0"/>
        <v>1.9570107905315659E-3</v>
      </c>
      <c r="D56" s="65">
        <v>426.57164419999998</v>
      </c>
      <c r="E56" s="47">
        <f t="shared" si="1"/>
        <v>-1.8211716960980451E-2</v>
      </c>
      <c r="F56" s="47"/>
      <c r="G56" s="47"/>
      <c r="H56" s="65">
        <v>358.80886695999999</v>
      </c>
      <c r="I56" s="47">
        <f t="shared" si="2"/>
        <v>-2.4906945067803443E-2</v>
      </c>
      <c r="J56" s="47"/>
      <c r="K56" s="47"/>
      <c r="L56" s="65">
        <v>59.682449159999997</v>
      </c>
      <c r="M56" s="47">
        <f t="shared" si="3"/>
        <v>-4.2154639848997699E-2</v>
      </c>
      <c r="N56" s="47"/>
      <c r="O56" s="47"/>
      <c r="P56" s="65">
        <v>820.01550189</v>
      </c>
      <c r="Q56" s="47">
        <f t="shared" si="4"/>
        <v>1.4005016405671755E-2</v>
      </c>
    </row>
    <row r="57" spans="1:17" ht="14.4" x14ac:dyDescent="0.3">
      <c r="A57" s="63">
        <v>44278</v>
      </c>
      <c r="B57" s="64">
        <v>12417.299804689999</v>
      </c>
      <c r="C57" s="47">
        <f t="shared" si="0"/>
        <v>6.3783733812199372E-3</v>
      </c>
      <c r="D57" s="65">
        <v>427.76331822999998</v>
      </c>
      <c r="E57" s="47">
        <f t="shared" si="1"/>
        <v>2.7936081692323533E-3</v>
      </c>
      <c r="F57" s="47"/>
      <c r="G57" s="47"/>
      <c r="H57" s="65">
        <v>366.46220577000003</v>
      </c>
      <c r="I57" s="47">
        <f t="shared" si="2"/>
        <v>2.1329848603917734E-2</v>
      </c>
      <c r="J57" s="47"/>
      <c r="K57" s="47"/>
      <c r="L57" s="65">
        <v>63.135960449999999</v>
      </c>
      <c r="M57" s="47">
        <f t="shared" si="3"/>
        <v>5.7864771613873156E-2</v>
      </c>
      <c r="N57" s="47"/>
      <c r="O57" s="47"/>
      <c r="P57" s="65">
        <v>837.26745136</v>
      </c>
      <c r="Q57" s="47">
        <f t="shared" si="4"/>
        <v>2.1038565039608548E-2</v>
      </c>
    </row>
    <row r="58" spans="1:17" ht="14.4" x14ac:dyDescent="0.3">
      <c r="A58" s="63">
        <v>44279</v>
      </c>
      <c r="B58" s="64">
        <v>12197.200195310001</v>
      </c>
      <c r="C58" s="47">
        <f t="shared" si="0"/>
        <v>-1.7725239209966381E-2</v>
      </c>
      <c r="D58" s="65">
        <v>407.07584759000002</v>
      </c>
      <c r="E58" s="47">
        <f t="shared" si="1"/>
        <v>-4.8361955685215396E-2</v>
      </c>
      <c r="F58" s="47"/>
      <c r="G58" s="47"/>
      <c r="H58" s="65">
        <v>359.80095576999997</v>
      </c>
      <c r="I58" s="47">
        <f t="shared" si="2"/>
        <v>-1.8177181425854338E-2</v>
      </c>
      <c r="J58" s="47"/>
      <c r="K58" s="47"/>
      <c r="L58" s="65">
        <v>59.779734159999997</v>
      </c>
      <c r="M58" s="47">
        <f t="shared" si="3"/>
        <v>-5.3158711233322165E-2</v>
      </c>
      <c r="N58" s="47"/>
      <c r="O58" s="47"/>
      <c r="P58" s="65">
        <v>826.55631969000001</v>
      </c>
      <c r="Q58" s="47">
        <f t="shared" si="4"/>
        <v>-1.279296317156664E-2</v>
      </c>
    </row>
    <row r="59" spans="1:17" ht="14.4" x14ac:dyDescent="0.3">
      <c r="A59" s="63">
        <v>44280</v>
      </c>
      <c r="B59" s="64">
        <v>11993.299804689999</v>
      </c>
      <c r="C59" s="47">
        <f t="shared" si="0"/>
        <v>-1.6716983189175139E-2</v>
      </c>
      <c r="D59" s="65">
        <v>390.91673824999998</v>
      </c>
      <c r="E59" s="47">
        <f t="shared" si="1"/>
        <v>-3.9695573774927606E-2</v>
      </c>
      <c r="F59" s="47"/>
      <c r="G59" s="47"/>
      <c r="H59" s="65">
        <v>347.75404845000003</v>
      </c>
      <c r="I59" s="47">
        <f t="shared" si="2"/>
        <v>-3.3482143743111203E-2</v>
      </c>
      <c r="J59" s="47"/>
      <c r="K59" s="47"/>
      <c r="L59" s="65">
        <v>58.758275070000003</v>
      </c>
      <c r="M59" s="47">
        <f t="shared" si="3"/>
        <v>-1.7087046377055937E-2</v>
      </c>
      <c r="N59" s="47"/>
      <c r="O59" s="47"/>
      <c r="P59" s="65">
        <v>817.51333060000002</v>
      </c>
      <c r="Q59" s="47">
        <f t="shared" si="4"/>
        <v>-1.0940560098060326E-2</v>
      </c>
    </row>
    <row r="60" spans="1:17" ht="14.4" x14ac:dyDescent="0.3">
      <c r="A60" s="63">
        <v>44281</v>
      </c>
      <c r="B60" s="64">
        <v>12148.90039063</v>
      </c>
      <c r="C60" s="47">
        <f t="shared" si="0"/>
        <v>1.2973959500216292E-2</v>
      </c>
      <c r="D60" s="65">
        <v>392.44208100999998</v>
      </c>
      <c r="E60" s="47">
        <f t="shared" si="1"/>
        <v>3.9019632846331032E-3</v>
      </c>
      <c r="F60" s="47"/>
      <c r="G60" s="47"/>
      <c r="H60" s="65">
        <v>348.08474787</v>
      </c>
      <c r="I60" s="47">
        <f t="shared" si="2"/>
        <v>9.5095778603870862E-4</v>
      </c>
      <c r="J60" s="47"/>
      <c r="K60" s="47"/>
      <c r="L60" s="65">
        <v>59.487889129999999</v>
      </c>
      <c r="M60" s="47">
        <f t="shared" si="3"/>
        <v>1.2417213730845367E-2</v>
      </c>
      <c r="N60" s="47"/>
      <c r="O60" s="47"/>
      <c r="P60" s="65">
        <v>835.33592892000001</v>
      </c>
      <c r="Q60" s="47">
        <f t="shared" si="4"/>
        <v>2.1800988011925648E-2</v>
      </c>
    </row>
    <row r="61" spans="1:17" ht="14.4" x14ac:dyDescent="0.3">
      <c r="A61" s="63">
        <v>44285</v>
      </c>
      <c r="B61" s="64">
        <v>12387.90039063</v>
      </c>
      <c r="C61" s="47">
        <f t="shared" si="0"/>
        <v>1.9672562315543596E-2</v>
      </c>
      <c r="D61" s="65">
        <v>387.05572394000001</v>
      </c>
      <c r="E61" s="47">
        <f t="shared" si="1"/>
        <v>-1.3725228079867202E-2</v>
      </c>
      <c r="F61" s="47"/>
      <c r="G61" s="47"/>
      <c r="H61" s="65">
        <v>357.39158375</v>
      </c>
      <c r="I61" s="47">
        <f t="shared" si="2"/>
        <v>2.673726998080328E-2</v>
      </c>
      <c r="J61" s="47"/>
      <c r="K61" s="47"/>
      <c r="L61" s="65">
        <v>59.390604140000001</v>
      </c>
      <c r="M61" s="47">
        <f t="shared" si="3"/>
        <v>-1.6353747195063661E-3</v>
      </c>
      <c r="N61" s="47"/>
      <c r="O61" s="47"/>
      <c r="P61" s="65">
        <v>867.33761347999996</v>
      </c>
      <c r="Q61" s="47">
        <f t="shared" si="4"/>
        <v>3.8309958248024412E-2</v>
      </c>
    </row>
    <row r="62" spans="1:17" ht="14.4" x14ac:dyDescent="0.3">
      <c r="A62" s="63">
        <v>44286</v>
      </c>
      <c r="B62" s="64">
        <v>12313.700195310001</v>
      </c>
      <c r="C62" s="47">
        <f t="shared" si="0"/>
        <v>-5.9897313491577009E-3</v>
      </c>
      <c r="D62" s="65">
        <v>391.67942870000002</v>
      </c>
      <c r="E62" s="47">
        <f t="shared" si="1"/>
        <v>1.1945837444111262E-2</v>
      </c>
      <c r="F62" s="47"/>
      <c r="G62" s="47"/>
      <c r="H62" s="65">
        <v>356.21051440999997</v>
      </c>
      <c r="I62" s="47">
        <f t="shared" si="2"/>
        <v>-3.3046926500266416E-3</v>
      </c>
      <c r="J62" s="47"/>
      <c r="K62" s="47"/>
      <c r="L62" s="65">
        <v>59.390604140000001</v>
      </c>
      <c r="M62" s="47">
        <f t="shared" si="3"/>
        <v>0</v>
      </c>
      <c r="N62" s="47"/>
      <c r="O62" s="47"/>
      <c r="P62" s="65">
        <v>857.41661936000003</v>
      </c>
      <c r="Q62" s="47">
        <f t="shared" si="4"/>
        <v>-1.1438445613115023E-2</v>
      </c>
    </row>
    <row r="63" spans="1:17" ht="14.4" x14ac:dyDescent="0.3">
      <c r="A63" s="63">
        <v>44287</v>
      </c>
      <c r="B63" s="64">
        <v>12479</v>
      </c>
      <c r="C63" s="47">
        <f t="shared" si="0"/>
        <v>1.3424056300555209E-2</v>
      </c>
      <c r="D63" s="65">
        <v>399.92580342999997</v>
      </c>
      <c r="E63" s="47">
        <f t="shared" si="1"/>
        <v>2.1053887760636325E-2</v>
      </c>
      <c r="F63" s="47"/>
      <c r="G63" s="47"/>
      <c r="H63" s="65">
        <v>361.12377233000001</v>
      </c>
      <c r="I63" s="47">
        <f t="shared" si="2"/>
        <v>1.3793129964560391E-2</v>
      </c>
      <c r="J63" s="47"/>
      <c r="K63" s="47"/>
      <c r="L63" s="65">
        <v>59.585169149999999</v>
      </c>
      <c r="M63" s="47">
        <f t="shared" si="3"/>
        <v>3.2760234184745496E-3</v>
      </c>
      <c r="N63" s="47"/>
      <c r="O63" s="47"/>
      <c r="P63" s="65">
        <v>871.37621587000001</v>
      </c>
      <c r="Q63" s="47">
        <f t="shared" si="4"/>
        <v>1.6280995953192212E-2</v>
      </c>
    </row>
    <row r="64" spans="1:17" ht="14.4" x14ac:dyDescent="0.3">
      <c r="A64" s="63">
        <v>44291</v>
      </c>
      <c r="B64" s="64">
        <v>12298.59960938</v>
      </c>
      <c r="C64" s="47">
        <f t="shared" si="0"/>
        <v>-1.445631786361079E-2</v>
      </c>
      <c r="D64" s="65">
        <v>397.87613363999998</v>
      </c>
      <c r="E64" s="47">
        <f t="shared" si="1"/>
        <v>-5.125125141765885E-3</v>
      </c>
      <c r="F64" s="47"/>
      <c r="G64" s="47"/>
      <c r="H64" s="65">
        <v>357.29708875</v>
      </c>
      <c r="I64" s="47">
        <f t="shared" si="2"/>
        <v>-1.059659837764193E-2</v>
      </c>
      <c r="J64" s="47"/>
      <c r="K64" s="47"/>
      <c r="L64" s="65">
        <v>58.077300010000002</v>
      </c>
      <c r="M64" s="47">
        <f t="shared" si="3"/>
        <v>-2.5306114952935332E-2</v>
      </c>
      <c r="N64" s="47"/>
      <c r="O64" s="47"/>
      <c r="P64" s="65">
        <v>861.27966526</v>
      </c>
      <c r="Q64" s="47">
        <f t="shared" si="4"/>
        <v>-1.1586901760819113E-2</v>
      </c>
    </row>
    <row r="65" spans="1:17" ht="14.4" x14ac:dyDescent="0.3">
      <c r="A65" s="63">
        <v>44292</v>
      </c>
      <c r="B65" s="64">
        <v>12358.09960938</v>
      </c>
      <c r="C65" s="47">
        <f t="shared" si="0"/>
        <v>4.8379491885093273E-3</v>
      </c>
      <c r="D65" s="65">
        <v>417.99159121000002</v>
      </c>
      <c r="E65" s="47">
        <f t="shared" si="1"/>
        <v>5.0557085156056614E-2</v>
      </c>
      <c r="F65" s="47"/>
      <c r="G65" s="47"/>
      <c r="H65" s="65">
        <v>357.76951649</v>
      </c>
      <c r="I65" s="47">
        <f t="shared" si="2"/>
        <v>1.3222266703958319E-3</v>
      </c>
      <c r="J65" s="47"/>
      <c r="K65" s="47"/>
      <c r="L65" s="65">
        <v>58.758275070000003</v>
      </c>
      <c r="M65" s="47">
        <f t="shared" si="3"/>
        <v>1.1725322283968831E-2</v>
      </c>
      <c r="N65" s="47"/>
      <c r="O65" s="47"/>
      <c r="P65" s="65">
        <v>886.74053202000005</v>
      </c>
      <c r="Q65" s="47">
        <f t="shared" si="4"/>
        <v>2.9561671762346808E-2</v>
      </c>
    </row>
    <row r="66" spans="1:17" ht="14.4" x14ac:dyDescent="0.3">
      <c r="A66" s="63">
        <v>44293</v>
      </c>
      <c r="B66" s="64">
        <v>12481.299804689999</v>
      </c>
      <c r="C66" s="47">
        <f t="shared" si="0"/>
        <v>9.9691861373643054E-3</v>
      </c>
      <c r="D66" s="65">
        <v>413.51088733</v>
      </c>
      <c r="E66" s="47">
        <f t="shared" si="1"/>
        <v>-1.0719602916004378E-2</v>
      </c>
      <c r="F66" s="47"/>
      <c r="G66" s="47"/>
      <c r="H66" s="65">
        <v>355.02944506</v>
      </c>
      <c r="I66" s="47">
        <f t="shared" si="2"/>
        <v>-7.6587615872986126E-3</v>
      </c>
      <c r="J66" s="47"/>
      <c r="K66" s="47"/>
      <c r="L66" s="65">
        <v>59.877013179999999</v>
      </c>
      <c r="M66" s="47">
        <f t="shared" si="3"/>
        <v>1.9039669028187323E-2</v>
      </c>
      <c r="N66" s="47"/>
      <c r="O66" s="47"/>
      <c r="P66" s="65">
        <v>895.73963200000003</v>
      </c>
      <c r="Q66" s="47">
        <f t="shared" si="4"/>
        <v>1.0148515439460049E-2</v>
      </c>
    </row>
    <row r="67" spans="1:17" ht="14.4" x14ac:dyDescent="0.3">
      <c r="A67" s="63">
        <v>44294</v>
      </c>
      <c r="B67" s="64">
        <v>12541.65039063</v>
      </c>
      <c r="C67" s="47">
        <f t="shared" si="0"/>
        <v>4.8352805304239244E-3</v>
      </c>
      <c r="D67" s="65">
        <v>405.3121605</v>
      </c>
      <c r="E67" s="47">
        <f t="shared" si="1"/>
        <v>-1.9827112371667899E-2</v>
      </c>
      <c r="F67" s="47"/>
      <c r="G67" s="47"/>
      <c r="H67" s="65">
        <v>374.68242951000002</v>
      </c>
      <c r="I67" s="47">
        <f t="shared" si="2"/>
        <v>5.5355928144716682E-2</v>
      </c>
      <c r="J67" s="47"/>
      <c r="K67" s="47"/>
      <c r="L67" s="65">
        <v>59.536529139999999</v>
      </c>
      <c r="M67" s="47">
        <f t="shared" si="3"/>
        <v>-5.6863898500824073E-3</v>
      </c>
      <c r="N67" s="47"/>
      <c r="O67" s="47"/>
      <c r="P67" s="65">
        <v>913.03546134999999</v>
      </c>
      <c r="Q67" s="47">
        <f t="shared" si="4"/>
        <v>1.9308991957162736E-2</v>
      </c>
    </row>
    <row r="68" spans="1:17" ht="14.4" x14ac:dyDescent="0.3">
      <c r="A68" s="63">
        <v>44295</v>
      </c>
      <c r="B68" s="64">
        <v>12527.40039063</v>
      </c>
      <c r="C68" s="47">
        <f t="shared" ref="C68:C131" si="5">B68/B67-1</f>
        <v>-1.1362140991145742E-3</v>
      </c>
      <c r="D68" s="65">
        <v>408.02918681</v>
      </c>
      <c r="E68" s="47">
        <f t="shared" ref="E68:E131" si="6">D68/D67-1</f>
        <v>6.7035400730346417E-3</v>
      </c>
      <c r="F68" s="47"/>
      <c r="G68" s="47"/>
      <c r="H68" s="65">
        <v>363.62763933999997</v>
      </c>
      <c r="I68" s="47">
        <f t="shared" ref="I68:I131" si="7">H68/H67-1</f>
        <v>-2.9504426413742513E-2</v>
      </c>
      <c r="J68" s="47"/>
      <c r="K68" s="47"/>
      <c r="L68" s="65">
        <v>59.390604140000001</v>
      </c>
      <c r="M68" s="47">
        <f t="shared" ref="M68:M131" si="8">L68/L67-1</f>
        <v>-2.4510162434370208E-3</v>
      </c>
      <c r="N68" s="47"/>
      <c r="O68" s="47"/>
      <c r="P68" s="65">
        <v>933.22856258000002</v>
      </c>
      <c r="Q68" s="47">
        <f t="shared" ref="Q68:Q131" si="9">P68/P67-1</f>
        <v>2.2116447919933835E-2</v>
      </c>
    </row>
    <row r="69" spans="1:17" ht="14.4" x14ac:dyDescent="0.3">
      <c r="A69" s="63">
        <v>44298</v>
      </c>
      <c r="B69" s="64">
        <v>12024.09960938</v>
      </c>
      <c r="C69" s="47">
        <f t="shared" si="5"/>
        <v>-4.0175995462430447E-2</v>
      </c>
      <c r="D69" s="65">
        <v>379.76268843000003</v>
      </c>
      <c r="E69" s="47">
        <f t="shared" si="6"/>
        <v>-6.9275677558728987E-2</v>
      </c>
      <c r="F69" s="47"/>
      <c r="G69" s="47"/>
      <c r="H69" s="65">
        <v>346.24229858000001</v>
      </c>
      <c r="I69" s="47">
        <f t="shared" si="7"/>
        <v>-4.7810834158688031E-2</v>
      </c>
      <c r="J69" s="47"/>
      <c r="K69" s="47"/>
      <c r="L69" s="65">
        <v>54.331943699999997</v>
      </c>
      <c r="M69" s="47">
        <f t="shared" si="8"/>
        <v>-8.5176106780718186E-2</v>
      </c>
      <c r="N69" s="47"/>
      <c r="O69" s="47"/>
      <c r="P69" s="65">
        <v>921.20049875999996</v>
      </c>
      <c r="Q69" s="47">
        <f t="shared" si="9"/>
        <v>-1.2888658044013734E-2</v>
      </c>
    </row>
    <row r="70" spans="1:17" ht="14.4" x14ac:dyDescent="0.3">
      <c r="A70" s="63">
        <v>44299</v>
      </c>
      <c r="B70" s="64">
        <v>12186.700195310001</v>
      </c>
      <c r="C70" s="47">
        <f t="shared" si="5"/>
        <v>1.3522890795345299E-2</v>
      </c>
      <c r="D70" s="65">
        <v>386.72204568000001</v>
      </c>
      <c r="E70" s="47">
        <f t="shared" si="6"/>
        <v>1.8325542403260009E-2</v>
      </c>
      <c r="F70" s="47"/>
      <c r="G70" s="47"/>
      <c r="H70" s="65">
        <v>341.80146839999998</v>
      </c>
      <c r="I70" s="47">
        <f t="shared" si="7"/>
        <v>-1.2825787600800553E-2</v>
      </c>
      <c r="J70" s="47"/>
      <c r="K70" s="47"/>
      <c r="L70" s="65">
        <v>55.937097829999999</v>
      </c>
      <c r="M70" s="47">
        <f t="shared" si="8"/>
        <v>2.9543469655034738E-2</v>
      </c>
      <c r="N70" s="47"/>
      <c r="O70" s="47"/>
      <c r="P70" s="65">
        <v>929.89231127999994</v>
      </c>
      <c r="Q70" s="47">
        <f t="shared" si="9"/>
        <v>9.4353102627493524E-3</v>
      </c>
    </row>
    <row r="71" spans="1:17" ht="14.4" x14ac:dyDescent="0.3">
      <c r="A71" s="63">
        <v>44301</v>
      </c>
      <c r="B71" s="64">
        <v>12237.59960938</v>
      </c>
      <c r="C71" s="47">
        <f t="shared" si="5"/>
        <v>4.1766362718587136E-3</v>
      </c>
      <c r="D71" s="65">
        <v>396.39843877999999</v>
      </c>
      <c r="E71" s="47">
        <f t="shared" si="6"/>
        <v>2.5021570939885995E-2</v>
      </c>
      <c r="F71" s="47"/>
      <c r="G71" s="47"/>
      <c r="H71" s="65">
        <v>341.65974953</v>
      </c>
      <c r="I71" s="47">
        <f t="shared" si="7"/>
        <v>-4.1462335040098885E-4</v>
      </c>
      <c r="J71" s="47"/>
      <c r="K71" s="47"/>
      <c r="L71" s="65">
        <v>54.623793710000001</v>
      </c>
      <c r="M71" s="47">
        <f t="shared" si="8"/>
        <v>-2.3478231280273043E-2</v>
      </c>
      <c r="N71" s="47"/>
      <c r="O71" s="47"/>
      <c r="P71" s="65">
        <v>931.86772386999996</v>
      </c>
      <c r="Q71" s="47">
        <f t="shared" si="9"/>
        <v>2.1243455462933714E-3</v>
      </c>
    </row>
    <row r="72" spans="1:17" ht="14.4" x14ac:dyDescent="0.3">
      <c r="A72" s="63">
        <v>44302</v>
      </c>
      <c r="B72" s="64">
        <v>12298.049804689999</v>
      </c>
      <c r="C72" s="47">
        <f t="shared" si="5"/>
        <v>4.9397101751609274E-3</v>
      </c>
      <c r="D72" s="65">
        <v>395.87411173999999</v>
      </c>
      <c r="E72" s="47">
        <f t="shared" si="6"/>
        <v>-1.3227273084468472E-3</v>
      </c>
      <c r="F72" s="47"/>
      <c r="G72" s="47"/>
      <c r="H72" s="65">
        <v>343.02977106999998</v>
      </c>
      <c r="I72" s="47">
        <f t="shared" si="7"/>
        <v>4.0099003230102959E-3</v>
      </c>
      <c r="J72" s="47"/>
      <c r="K72" s="47"/>
      <c r="L72" s="65">
        <v>54.964278749999998</v>
      </c>
      <c r="M72" s="47">
        <f t="shared" si="8"/>
        <v>6.2332733937822127E-3</v>
      </c>
      <c r="N72" s="47"/>
      <c r="O72" s="47"/>
      <c r="P72" s="65">
        <v>1000.56816556</v>
      </c>
      <c r="Q72" s="47">
        <f t="shared" si="9"/>
        <v>7.3723383620038385E-2</v>
      </c>
    </row>
    <row r="73" spans="1:17" ht="14.4" x14ac:dyDescent="0.3">
      <c r="A73" s="63">
        <v>44305</v>
      </c>
      <c r="B73" s="64">
        <v>12076.450195310001</v>
      </c>
      <c r="C73" s="47">
        <f t="shared" si="5"/>
        <v>-1.8019085375267307E-2</v>
      </c>
      <c r="D73" s="65">
        <v>398.59113804999998</v>
      </c>
      <c r="E73" s="47">
        <f t="shared" si="6"/>
        <v>6.8633594100351303E-3</v>
      </c>
      <c r="F73" s="47"/>
      <c r="G73" s="47"/>
      <c r="H73" s="65">
        <v>330.74664988000001</v>
      </c>
      <c r="I73" s="47">
        <f t="shared" si="7"/>
        <v>-3.580774097736672E-2</v>
      </c>
      <c r="J73" s="47"/>
      <c r="K73" s="47"/>
      <c r="L73" s="65">
        <v>51.51077145</v>
      </c>
      <c r="M73" s="47">
        <f t="shared" si="8"/>
        <v>-6.2831849676550089E-2</v>
      </c>
      <c r="N73" s="47"/>
      <c r="O73" s="47"/>
      <c r="P73" s="65">
        <v>983.22843784999998</v>
      </c>
      <c r="Q73" s="47">
        <f t="shared" si="9"/>
        <v>-1.7329881468190922E-2</v>
      </c>
    </row>
    <row r="74" spans="1:17" ht="14.4" x14ac:dyDescent="0.3">
      <c r="A74" s="63">
        <v>44306</v>
      </c>
      <c r="B74" s="64">
        <v>12055.40039063</v>
      </c>
      <c r="C74" s="47">
        <f t="shared" si="5"/>
        <v>-1.7430457079329331E-3</v>
      </c>
      <c r="D74" s="65">
        <v>398.40045113999997</v>
      </c>
      <c r="E74" s="47">
        <f t="shared" si="6"/>
        <v>-4.7840228192952416E-4</v>
      </c>
      <c r="F74" s="47"/>
      <c r="G74" s="47"/>
      <c r="H74" s="65">
        <v>335.75440279999998</v>
      </c>
      <c r="I74" s="47">
        <f t="shared" si="7"/>
        <v>1.5140751756115733E-2</v>
      </c>
      <c r="J74" s="47"/>
      <c r="K74" s="47"/>
      <c r="L74" s="65">
        <v>51.656691469999998</v>
      </c>
      <c r="M74" s="47">
        <f t="shared" si="8"/>
        <v>2.8328059528606175E-3</v>
      </c>
      <c r="N74" s="47"/>
      <c r="O74" s="47"/>
      <c r="P74" s="65">
        <v>982.08708782999997</v>
      </c>
      <c r="Q74" s="47">
        <f t="shared" si="9"/>
        <v>-1.1608187640460566E-3</v>
      </c>
    </row>
    <row r="75" spans="1:17" ht="14.4" x14ac:dyDescent="0.3">
      <c r="A75" s="63">
        <v>44308</v>
      </c>
      <c r="B75" s="64">
        <v>12132.049804689999</v>
      </c>
      <c r="C75" s="47">
        <f t="shared" si="5"/>
        <v>6.3580977467636579E-3</v>
      </c>
      <c r="D75" s="65">
        <v>390.10641898</v>
      </c>
      <c r="E75" s="47">
        <f t="shared" si="6"/>
        <v>-2.0818330241010208E-2</v>
      </c>
      <c r="F75" s="47"/>
      <c r="G75" s="47"/>
      <c r="H75" s="65">
        <v>336.17956887000003</v>
      </c>
      <c r="I75" s="47">
        <f t="shared" si="7"/>
        <v>1.2663008033682033E-3</v>
      </c>
      <c r="J75" s="47"/>
      <c r="K75" s="47"/>
      <c r="L75" s="65">
        <v>54.331943699999997</v>
      </c>
      <c r="M75" s="47">
        <f t="shared" si="8"/>
        <v>5.1789074249048106E-2</v>
      </c>
      <c r="N75" s="47"/>
      <c r="O75" s="47"/>
      <c r="P75" s="65">
        <v>996.96852619000003</v>
      </c>
      <c r="Q75" s="47">
        <f t="shared" si="9"/>
        <v>1.5152870396536677E-2</v>
      </c>
    </row>
    <row r="76" spans="1:17" ht="14.4" x14ac:dyDescent="0.3">
      <c r="A76" s="63">
        <v>44309</v>
      </c>
      <c r="B76" s="64">
        <v>12105.59960938</v>
      </c>
      <c r="C76" s="47">
        <f t="shared" si="5"/>
        <v>-2.1801917842254603E-3</v>
      </c>
      <c r="D76" s="65">
        <v>388.96240238000001</v>
      </c>
      <c r="E76" s="47">
        <f t="shared" si="6"/>
        <v>-2.9325756879141629E-3</v>
      </c>
      <c r="F76" s="47"/>
      <c r="G76" s="47"/>
      <c r="H76" s="65">
        <v>339.67554358000001</v>
      </c>
      <c r="I76" s="47">
        <f t="shared" si="7"/>
        <v>1.0399129018312969E-2</v>
      </c>
      <c r="J76" s="47"/>
      <c r="K76" s="47"/>
      <c r="L76" s="65">
        <v>53.65097463</v>
      </c>
      <c r="M76" s="47">
        <f t="shared" si="8"/>
        <v>-1.2533493625040304E-2</v>
      </c>
      <c r="N76" s="47"/>
      <c r="O76" s="47"/>
      <c r="P76" s="65">
        <v>997.40750664999996</v>
      </c>
      <c r="Q76" s="47">
        <f t="shared" si="9"/>
        <v>4.4031526419141542E-4</v>
      </c>
    </row>
    <row r="77" spans="1:17" ht="14.4" x14ac:dyDescent="0.3">
      <c r="A77" s="63">
        <v>44312</v>
      </c>
      <c r="B77" s="64">
        <v>12216.84960938</v>
      </c>
      <c r="C77" s="47">
        <f t="shared" si="5"/>
        <v>9.1899619671707011E-3</v>
      </c>
      <c r="D77" s="65">
        <v>386.05472729000002</v>
      </c>
      <c r="E77" s="47">
        <f t="shared" si="6"/>
        <v>-7.4754656805089414E-3</v>
      </c>
      <c r="F77" s="47"/>
      <c r="G77" s="47"/>
      <c r="H77" s="65">
        <v>340.99833180000002</v>
      </c>
      <c r="I77" s="47">
        <f t="shared" si="7"/>
        <v>3.8942698260184816E-3</v>
      </c>
      <c r="J77" s="47"/>
      <c r="K77" s="47"/>
      <c r="L77" s="65">
        <v>52.726795549999999</v>
      </c>
      <c r="M77" s="47">
        <f t="shared" si="8"/>
        <v>-1.7225764981410596E-2</v>
      </c>
      <c r="N77" s="47"/>
      <c r="O77" s="47"/>
      <c r="P77" s="65">
        <v>967.77632499000003</v>
      </c>
      <c r="Q77" s="47">
        <f t="shared" si="9"/>
        <v>-2.9708199970864824E-2</v>
      </c>
    </row>
    <row r="78" spans="1:17" ht="14.4" x14ac:dyDescent="0.3">
      <c r="A78" s="63">
        <v>44313</v>
      </c>
      <c r="B78" s="64">
        <v>12362.549804689999</v>
      </c>
      <c r="C78" s="47">
        <f t="shared" si="5"/>
        <v>1.1926167544710653E-2</v>
      </c>
      <c r="D78" s="65">
        <v>378.66634832</v>
      </c>
      <c r="E78" s="47">
        <f t="shared" si="6"/>
        <v>-1.9138164741212882E-2</v>
      </c>
      <c r="F78" s="47"/>
      <c r="G78" s="47"/>
      <c r="H78" s="65">
        <v>354.88772619000002</v>
      </c>
      <c r="I78" s="47">
        <f t="shared" si="7"/>
        <v>4.0731561109648817E-2</v>
      </c>
      <c r="J78" s="47"/>
      <c r="K78" s="47"/>
      <c r="L78" s="65">
        <v>53.115919599999998</v>
      </c>
      <c r="M78" s="47">
        <f t="shared" si="8"/>
        <v>7.3800056677253423E-3</v>
      </c>
      <c r="N78" s="47"/>
      <c r="O78" s="47"/>
      <c r="P78" s="65">
        <v>974.44882861999997</v>
      </c>
      <c r="Q78" s="47">
        <f t="shared" si="9"/>
        <v>6.8946754097016782E-3</v>
      </c>
    </row>
    <row r="79" spans="1:17" ht="14.4" x14ac:dyDescent="0.3">
      <c r="A79" s="63">
        <v>44314</v>
      </c>
      <c r="B79" s="64">
        <v>12517.950195310001</v>
      </c>
      <c r="C79" s="47">
        <f t="shared" si="5"/>
        <v>1.2570253958535949E-2</v>
      </c>
      <c r="D79" s="65">
        <v>380.81136156999997</v>
      </c>
      <c r="E79" s="47">
        <f t="shared" si="6"/>
        <v>5.6646524295507206E-3</v>
      </c>
      <c r="F79" s="47"/>
      <c r="G79" s="47"/>
      <c r="H79" s="65">
        <v>355.40737780000001</v>
      </c>
      <c r="I79" s="47">
        <f t="shared" si="7"/>
        <v>1.4642704485130498E-3</v>
      </c>
      <c r="J79" s="47"/>
      <c r="K79" s="47"/>
      <c r="L79" s="65">
        <v>53.602329640000001</v>
      </c>
      <c r="M79" s="47">
        <f t="shared" si="8"/>
        <v>9.1575189446593264E-3</v>
      </c>
      <c r="N79" s="47"/>
      <c r="O79" s="47"/>
      <c r="P79" s="65">
        <v>1005.08966421</v>
      </c>
      <c r="Q79" s="47">
        <f t="shared" si="9"/>
        <v>3.1444273614031681E-2</v>
      </c>
    </row>
    <row r="80" spans="1:17" ht="14.4" x14ac:dyDescent="0.3">
      <c r="A80" s="63">
        <v>44315</v>
      </c>
      <c r="B80" s="64">
        <v>12532.799804689999</v>
      </c>
      <c r="C80" s="47">
        <f t="shared" si="5"/>
        <v>1.1862652549585739E-3</v>
      </c>
      <c r="D80" s="65">
        <v>382.33668526000002</v>
      </c>
      <c r="E80" s="47">
        <f t="shared" si="6"/>
        <v>4.0054574099666063E-3</v>
      </c>
      <c r="F80" s="47"/>
      <c r="G80" s="47"/>
      <c r="H80" s="65">
        <v>361.5489384</v>
      </c>
      <c r="I80" s="47">
        <f t="shared" si="7"/>
        <v>1.7280340768435209E-2</v>
      </c>
      <c r="J80" s="47"/>
      <c r="K80" s="47"/>
      <c r="L80" s="65">
        <v>54.575148720000001</v>
      </c>
      <c r="M80" s="47">
        <f t="shared" si="8"/>
        <v>1.8148820891434658E-2</v>
      </c>
      <c r="N80" s="47"/>
      <c r="O80" s="47"/>
      <c r="P80" s="65">
        <v>1010.18183736</v>
      </c>
      <c r="Q80" s="47">
        <f t="shared" si="9"/>
        <v>5.0663869417086893E-3</v>
      </c>
    </row>
    <row r="81" spans="1:17" ht="14.4" x14ac:dyDescent="0.3">
      <c r="A81" s="63">
        <v>44316</v>
      </c>
      <c r="B81" s="64">
        <v>12364.34960938</v>
      </c>
      <c r="C81" s="47">
        <f t="shared" si="5"/>
        <v>-1.344074731385736E-2</v>
      </c>
      <c r="D81" s="65">
        <v>382.67035399000002</v>
      </c>
      <c r="E81" s="47">
        <f t="shared" si="6"/>
        <v>8.7270916672066434E-4</v>
      </c>
      <c r="F81" s="47"/>
      <c r="G81" s="47"/>
      <c r="H81" s="65">
        <v>348.32096173000002</v>
      </c>
      <c r="I81" s="47">
        <f t="shared" si="7"/>
        <v>-3.6586960339419328E-2</v>
      </c>
      <c r="J81" s="47"/>
      <c r="K81" s="47"/>
      <c r="L81" s="65">
        <v>58.028660010000003</v>
      </c>
      <c r="M81" s="47">
        <f t="shared" si="8"/>
        <v>6.3279924489411554E-2</v>
      </c>
      <c r="N81" s="47"/>
      <c r="O81" s="47"/>
      <c r="P81" s="65">
        <v>1010.53302214</v>
      </c>
      <c r="Q81" s="47">
        <f t="shared" si="9"/>
        <v>3.4764511399032472E-4</v>
      </c>
    </row>
    <row r="82" spans="1:17" ht="14.4" x14ac:dyDescent="0.3">
      <c r="A82" s="63">
        <v>44319</v>
      </c>
      <c r="B82" s="64">
        <v>12395.25</v>
      </c>
      <c r="C82" s="47">
        <f t="shared" si="5"/>
        <v>2.4991521265751437E-3</v>
      </c>
      <c r="D82" s="65">
        <v>383.0993757</v>
      </c>
      <c r="E82" s="47">
        <f t="shared" si="6"/>
        <v>1.1211260698056336E-3</v>
      </c>
      <c r="F82" s="47"/>
      <c r="G82" s="47"/>
      <c r="H82" s="65">
        <v>343.17151828999999</v>
      </c>
      <c r="I82" s="47">
        <f t="shared" si="7"/>
        <v>-1.4783616278573608E-2</v>
      </c>
      <c r="J82" s="47"/>
      <c r="K82" s="47"/>
      <c r="L82" s="65">
        <v>59.196039120000002</v>
      </c>
      <c r="M82" s="47">
        <f t="shared" si="8"/>
        <v>2.0117285317269529E-2</v>
      </c>
      <c r="N82" s="47"/>
      <c r="O82" s="47"/>
      <c r="P82" s="65">
        <v>1046.8367063999999</v>
      </c>
      <c r="Q82" s="47">
        <f t="shared" si="9"/>
        <v>3.5925282464416508E-2</v>
      </c>
    </row>
    <row r="83" spans="1:17" ht="14.4" x14ac:dyDescent="0.3">
      <c r="A83" s="63">
        <v>44320</v>
      </c>
      <c r="B83" s="64">
        <v>12300.450195310001</v>
      </c>
      <c r="C83" s="47">
        <f t="shared" si="5"/>
        <v>-7.6480752457593892E-3</v>
      </c>
      <c r="D83" s="65">
        <v>374.37632181999999</v>
      </c>
      <c r="E83" s="47">
        <f t="shared" si="6"/>
        <v>-2.2769689624425049E-2</v>
      </c>
      <c r="F83" s="47"/>
      <c r="G83" s="47"/>
      <c r="H83" s="65">
        <v>340.43141851000001</v>
      </c>
      <c r="I83" s="47">
        <f t="shared" si="7"/>
        <v>-7.9846363522640962E-3</v>
      </c>
      <c r="J83" s="47"/>
      <c r="K83" s="47"/>
      <c r="L83" s="65">
        <v>54.575148720000001</v>
      </c>
      <c r="M83" s="47">
        <f t="shared" si="8"/>
        <v>-7.8060803876298324E-2</v>
      </c>
      <c r="N83" s="47"/>
      <c r="O83" s="47"/>
      <c r="P83" s="65">
        <v>1005.74813542</v>
      </c>
      <c r="Q83" s="47">
        <f t="shared" si="9"/>
        <v>-3.9250219951973864E-2</v>
      </c>
    </row>
    <row r="84" spans="1:17" ht="14.4" x14ac:dyDescent="0.3">
      <c r="A84" s="63">
        <v>44321</v>
      </c>
      <c r="B84" s="64">
        <v>12413</v>
      </c>
      <c r="C84" s="47">
        <f t="shared" si="5"/>
        <v>9.1500557217745193E-3</v>
      </c>
      <c r="D84" s="65">
        <v>369.99096141000001</v>
      </c>
      <c r="E84" s="47">
        <f t="shared" si="6"/>
        <v>-1.1713776097486361E-2</v>
      </c>
      <c r="F84" s="47"/>
      <c r="G84" s="47"/>
      <c r="H84" s="65">
        <v>331.17184429999998</v>
      </c>
      <c r="I84" s="47">
        <f t="shared" si="7"/>
        <v>-2.7199528911072135E-2</v>
      </c>
      <c r="J84" s="47"/>
      <c r="K84" s="47"/>
      <c r="L84" s="65">
        <v>53.359124620000003</v>
      </c>
      <c r="M84" s="47">
        <f t="shared" si="8"/>
        <v>-2.22816451905401E-2</v>
      </c>
      <c r="N84" s="47"/>
      <c r="O84" s="47"/>
      <c r="P84" s="65">
        <v>1009.96234764</v>
      </c>
      <c r="Q84" s="47">
        <f t="shared" si="9"/>
        <v>4.1901268037052297E-3</v>
      </c>
    </row>
    <row r="85" spans="1:17" ht="14.4" x14ac:dyDescent="0.3">
      <c r="A85" s="63">
        <v>44322</v>
      </c>
      <c r="B85" s="64">
        <v>12501.90039063</v>
      </c>
      <c r="C85" s="47">
        <f t="shared" si="5"/>
        <v>7.1618779207283101E-3</v>
      </c>
      <c r="D85" s="65">
        <v>361.74457713999999</v>
      </c>
      <c r="E85" s="47">
        <f t="shared" si="6"/>
        <v>-2.2288069520871145E-2</v>
      </c>
      <c r="F85" s="47"/>
      <c r="G85" s="47"/>
      <c r="H85" s="65">
        <v>334.47883846000002</v>
      </c>
      <c r="I85" s="47">
        <f t="shared" si="7"/>
        <v>9.9857346477931763E-3</v>
      </c>
      <c r="J85" s="47"/>
      <c r="K85" s="47"/>
      <c r="L85" s="65">
        <v>54.477868710000003</v>
      </c>
      <c r="M85" s="47">
        <f t="shared" si="8"/>
        <v>2.096631265912241E-2</v>
      </c>
      <c r="N85" s="47"/>
      <c r="O85" s="47"/>
      <c r="P85" s="65">
        <v>981.60421004</v>
      </c>
      <c r="Q85" s="47">
        <f t="shared" si="9"/>
        <v>-2.8078410711315116E-2</v>
      </c>
    </row>
    <row r="86" spans="1:17" ht="14.4" x14ac:dyDescent="0.3">
      <c r="A86" s="63">
        <v>44323</v>
      </c>
      <c r="B86" s="64">
        <v>12563.09960938</v>
      </c>
      <c r="C86" s="47">
        <f t="shared" si="5"/>
        <v>4.8951932776450935E-3</v>
      </c>
      <c r="D86" s="65">
        <v>360.12389093000002</v>
      </c>
      <c r="E86" s="47">
        <f t="shared" si="6"/>
        <v>-4.4801949010910835E-3</v>
      </c>
      <c r="F86" s="47"/>
      <c r="G86" s="47"/>
      <c r="H86" s="65">
        <v>357.06087488999998</v>
      </c>
      <c r="I86" s="47">
        <f t="shared" si="7"/>
        <v>6.7514096060521167E-2</v>
      </c>
      <c r="J86" s="47"/>
      <c r="K86" s="47"/>
      <c r="L86" s="65">
        <v>54.331943699999997</v>
      </c>
      <c r="M86" s="47">
        <f t="shared" si="8"/>
        <v>-2.6786108461180902E-3</v>
      </c>
      <c r="N86" s="47"/>
      <c r="O86" s="47"/>
      <c r="P86" s="65">
        <v>978.09236635000002</v>
      </c>
      <c r="Q86" s="47">
        <f t="shared" si="9"/>
        <v>-3.5776575264044874E-3</v>
      </c>
    </row>
    <row r="87" spans="1:17" ht="14.4" x14ac:dyDescent="0.3">
      <c r="A87" s="63">
        <v>44326</v>
      </c>
      <c r="B87" s="64">
        <v>12669.90039063</v>
      </c>
      <c r="C87" s="47">
        <f t="shared" si="5"/>
        <v>8.5011489656787731E-3</v>
      </c>
      <c r="D87" s="65">
        <v>364.93824446000002</v>
      </c>
      <c r="E87" s="47">
        <f t="shared" si="6"/>
        <v>1.3368603559089642E-2</v>
      </c>
      <c r="F87" s="47"/>
      <c r="G87" s="47"/>
      <c r="H87" s="65">
        <v>361.73792838999998</v>
      </c>
      <c r="I87" s="47">
        <f t="shared" si="7"/>
        <v>1.3098756623617369E-2</v>
      </c>
      <c r="J87" s="47"/>
      <c r="K87" s="47"/>
      <c r="L87" s="65">
        <v>54.477868710000003</v>
      </c>
      <c r="M87" s="47">
        <f t="shared" si="8"/>
        <v>2.6858050727165406E-3</v>
      </c>
      <c r="N87" s="47"/>
      <c r="O87" s="47"/>
      <c r="P87" s="65">
        <v>994.24684671</v>
      </c>
      <c r="Q87" s="47">
        <f t="shared" si="9"/>
        <v>1.651631371000728E-2</v>
      </c>
    </row>
    <row r="88" spans="1:17" ht="14.4" x14ac:dyDescent="0.3">
      <c r="A88" s="63">
        <v>44327</v>
      </c>
      <c r="B88" s="64">
        <v>12642.25</v>
      </c>
      <c r="C88" s="47">
        <f t="shared" si="5"/>
        <v>-2.1823684304929092E-3</v>
      </c>
      <c r="D88" s="65">
        <v>363.60356954999997</v>
      </c>
      <c r="E88" s="47">
        <f t="shared" si="6"/>
        <v>-3.6572623731858656E-3</v>
      </c>
      <c r="F88" s="47"/>
      <c r="G88" s="47"/>
      <c r="H88" s="65">
        <v>357.53330261999997</v>
      </c>
      <c r="I88" s="47">
        <f t="shared" si="7"/>
        <v>-1.1623403132521082E-2</v>
      </c>
      <c r="J88" s="47"/>
      <c r="K88" s="47"/>
      <c r="L88" s="65">
        <v>55.450687790000003</v>
      </c>
      <c r="M88" s="47">
        <f t="shared" si="8"/>
        <v>1.7857142781751767E-2</v>
      </c>
      <c r="N88" s="47"/>
      <c r="O88" s="47"/>
      <c r="P88" s="65">
        <v>1033.9745789799999</v>
      </c>
      <c r="Q88" s="47">
        <f t="shared" si="9"/>
        <v>3.9957614551618059E-2</v>
      </c>
    </row>
    <row r="89" spans="1:17" ht="14.4" x14ac:dyDescent="0.3">
      <c r="A89" s="63">
        <v>44328</v>
      </c>
      <c r="B89" s="64">
        <v>12537.950195310001</v>
      </c>
      <c r="C89" s="47">
        <f t="shared" si="5"/>
        <v>-8.2500982570349324E-3</v>
      </c>
      <c r="D89" s="65">
        <v>364.08023917000003</v>
      </c>
      <c r="E89" s="47">
        <f t="shared" si="6"/>
        <v>1.3109596822440395E-3</v>
      </c>
      <c r="F89" s="47"/>
      <c r="G89" s="47"/>
      <c r="H89" s="65">
        <v>360.41513071999998</v>
      </c>
      <c r="I89" s="47">
        <f t="shared" si="7"/>
        <v>8.0603067710951493E-3</v>
      </c>
      <c r="J89" s="47"/>
      <c r="K89" s="47"/>
      <c r="L89" s="65">
        <v>56.715351900000002</v>
      </c>
      <c r="M89" s="47">
        <f t="shared" si="8"/>
        <v>2.28070049336353E-2</v>
      </c>
      <c r="N89" s="47"/>
      <c r="O89" s="47"/>
      <c r="P89" s="65">
        <v>1013.82537611</v>
      </c>
      <c r="Q89" s="47">
        <f t="shared" si="9"/>
        <v>-1.948713564106852E-2</v>
      </c>
    </row>
    <row r="90" spans="1:17" ht="14.4" x14ac:dyDescent="0.3">
      <c r="A90" s="63">
        <v>44330</v>
      </c>
      <c r="B90" s="64">
        <v>12472.15039063</v>
      </c>
      <c r="C90" s="47">
        <f t="shared" si="5"/>
        <v>-5.2480512089300158E-3</v>
      </c>
      <c r="D90" s="65">
        <v>371.80229638999998</v>
      </c>
      <c r="E90" s="47">
        <f t="shared" si="6"/>
        <v>2.1209767488628462E-2</v>
      </c>
      <c r="F90" s="47"/>
      <c r="G90" s="47"/>
      <c r="H90" s="65">
        <v>362.58828886999999</v>
      </c>
      <c r="I90" s="47">
        <f t="shared" si="7"/>
        <v>6.0295974413135944E-3</v>
      </c>
      <c r="J90" s="47"/>
      <c r="K90" s="47"/>
      <c r="L90" s="65">
        <v>55.83981781</v>
      </c>
      <c r="M90" s="47">
        <f t="shared" si="8"/>
        <v>-1.5437338580632232E-2</v>
      </c>
      <c r="N90" s="47"/>
      <c r="O90" s="47"/>
      <c r="P90" s="65">
        <v>979.10202131000005</v>
      </c>
      <c r="Q90" s="47">
        <f t="shared" si="9"/>
        <v>-3.4249837909198666E-2</v>
      </c>
    </row>
    <row r="91" spans="1:17" ht="14.4" x14ac:dyDescent="0.3">
      <c r="A91" s="63">
        <v>44333</v>
      </c>
      <c r="B91" s="64">
        <v>12672.09960938</v>
      </c>
      <c r="C91" s="47">
        <f t="shared" si="5"/>
        <v>1.6031655527519728E-2</v>
      </c>
      <c r="D91" s="65">
        <v>372.80329304000003</v>
      </c>
      <c r="E91" s="47">
        <f t="shared" si="6"/>
        <v>2.6922820534438507E-3</v>
      </c>
      <c r="F91" s="47"/>
      <c r="G91" s="47"/>
      <c r="H91" s="65">
        <v>362.91899773</v>
      </c>
      <c r="I91" s="47">
        <f t="shared" si="7"/>
        <v>9.1207816179239565E-4</v>
      </c>
      <c r="J91" s="47"/>
      <c r="K91" s="47"/>
      <c r="L91" s="65">
        <v>55.645252800000002</v>
      </c>
      <c r="M91" s="47">
        <f t="shared" si="8"/>
        <v>-3.4843417767232987E-3</v>
      </c>
      <c r="N91" s="47"/>
      <c r="O91" s="47"/>
      <c r="P91" s="65">
        <v>984.19419445000005</v>
      </c>
      <c r="Q91" s="47">
        <f t="shared" si="9"/>
        <v>5.2008606142870395E-3</v>
      </c>
    </row>
    <row r="92" spans="1:17" ht="14.4" x14ac:dyDescent="0.3">
      <c r="A92" s="63">
        <v>44334</v>
      </c>
      <c r="B92" s="64">
        <v>12839.09960938</v>
      </c>
      <c r="C92" s="47">
        <f t="shared" si="5"/>
        <v>1.3178558024937281E-2</v>
      </c>
      <c r="D92" s="65">
        <v>381.52636598999999</v>
      </c>
      <c r="E92" s="47">
        <f t="shared" si="6"/>
        <v>2.3398594145637164E-2</v>
      </c>
      <c r="F92" s="47"/>
      <c r="G92" s="47"/>
      <c r="H92" s="65">
        <v>368.44640227000002</v>
      </c>
      <c r="I92" s="47">
        <f t="shared" si="7"/>
        <v>1.5230408368184234E-2</v>
      </c>
      <c r="J92" s="47"/>
      <c r="K92" s="47"/>
      <c r="L92" s="65">
        <v>55.937097829999999</v>
      </c>
      <c r="M92" s="47">
        <f t="shared" si="8"/>
        <v>5.2447426386748042E-3</v>
      </c>
      <c r="N92" s="47"/>
      <c r="O92" s="47"/>
      <c r="P92" s="65">
        <v>1006.18711588</v>
      </c>
      <c r="Q92" s="47">
        <f t="shared" si="9"/>
        <v>2.2346119855228608E-2</v>
      </c>
    </row>
    <row r="93" spans="1:17" ht="14.4" x14ac:dyDescent="0.3">
      <c r="A93" s="63">
        <v>44335</v>
      </c>
      <c r="B93" s="64">
        <v>12809</v>
      </c>
      <c r="C93" s="47">
        <f t="shared" si="5"/>
        <v>-2.3443707343784315E-3</v>
      </c>
      <c r="D93" s="65">
        <v>386.24537607000002</v>
      </c>
      <c r="E93" s="47">
        <f t="shared" si="6"/>
        <v>1.2368765308669927E-2</v>
      </c>
      <c r="F93" s="47"/>
      <c r="G93" s="47"/>
      <c r="H93" s="65">
        <v>368.16292672999998</v>
      </c>
      <c r="I93" s="47">
        <f t="shared" si="7"/>
        <v>-7.693806704409667E-4</v>
      </c>
      <c r="J93" s="47"/>
      <c r="K93" s="47"/>
      <c r="L93" s="65">
        <v>57.201760950000001</v>
      </c>
      <c r="M93" s="47">
        <f t="shared" si="8"/>
        <v>2.2608665251877547E-2</v>
      </c>
      <c r="N93" s="47"/>
      <c r="O93" s="47"/>
      <c r="P93" s="65">
        <v>1007.10897413</v>
      </c>
      <c r="Q93" s="47">
        <f t="shared" si="9"/>
        <v>9.161896782923229E-4</v>
      </c>
    </row>
    <row r="94" spans="1:17" ht="14.4" x14ac:dyDescent="0.3">
      <c r="A94" s="63">
        <v>44336</v>
      </c>
      <c r="B94" s="64">
        <v>12736.450195310001</v>
      </c>
      <c r="C94" s="47">
        <f t="shared" si="5"/>
        <v>-5.6639710117885045E-3</v>
      </c>
      <c r="D94" s="65">
        <v>380.04867113</v>
      </c>
      <c r="E94" s="47">
        <f t="shared" si="6"/>
        <v>-1.6043441097083777E-2</v>
      </c>
      <c r="F94" s="47"/>
      <c r="G94" s="47"/>
      <c r="H94" s="65">
        <v>378.17840422</v>
      </c>
      <c r="I94" s="47">
        <f t="shared" si="7"/>
        <v>2.7203927290987417E-2</v>
      </c>
      <c r="J94" s="47"/>
      <c r="K94" s="47"/>
      <c r="L94" s="65">
        <v>60.752553239999997</v>
      </c>
      <c r="M94" s="47">
        <f t="shared" si="8"/>
        <v>6.2074877259526096E-2</v>
      </c>
      <c r="N94" s="47"/>
      <c r="O94" s="47"/>
      <c r="P94" s="65">
        <v>1003.68492715</v>
      </c>
      <c r="Q94" s="47">
        <f t="shared" si="9"/>
        <v>-3.3998773399450677E-3</v>
      </c>
    </row>
    <row r="95" spans="1:17" ht="14.4" x14ac:dyDescent="0.3">
      <c r="A95" s="63">
        <v>44337</v>
      </c>
      <c r="B95" s="64">
        <v>12917.84960938</v>
      </c>
      <c r="C95" s="47">
        <f t="shared" si="5"/>
        <v>1.424254099755351E-2</v>
      </c>
      <c r="D95" s="65">
        <v>388.72406758</v>
      </c>
      <c r="E95" s="47">
        <f t="shared" si="6"/>
        <v>2.2827066923311268E-2</v>
      </c>
      <c r="F95" s="47"/>
      <c r="G95" s="47"/>
      <c r="H95" s="65">
        <v>395.28029778000001</v>
      </c>
      <c r="I95" s="47">
        <f t="shared" si="7"/>
        <v>4.5221761393998694E-2</v>
      </c>
      <c r="J95" s="47"/>
      <c r="K95" s="47"/>
      <c r="L95" s="65">
        <v>57.931375009999996</v>
      </c>
      <c r="M95" s="47">
        <f t="shared" si="8"/>
        <v>-4.6437196126639768E-2</v>
      </c>
      <c r="N95" s="47"/>
      <c r="O95" s="47"/>
      <c r="P95" s="65">
        <v>997.36360830000001</v>
      </c>
      <c r="Q95" s="47">
        <f t="shared" si="9"/>
        <v>-6.2981107706275852E-3</v>
      </c>
    </row>
    <row r="96" spans="1:17" ht="14.4" x14ac:dyDescent="0.3">
      <c r="A96" s="63">
        <v>44340</v>
      </c>
      <c r="B96" s="64">
        <v>12962.450195310001</v>
      </c>
      <c r="C96" s="47">
        <f t="shared" si="5"/>
        <v>3.4526323868653286E-3</v>
      </c>
      <c r="D96" s="65">
        <v>401.78482444000002</v>
      </c>
      <c r="E96" s="47">
        <f t="shared" si="6"/>
        <v>3.3599043509988213E-2</v>
      </c>
      <c r="F96" s="47"/>
      <c r="G96" s="47"/>
      <c r="H96" s="65">
        <v>406.4295735</v>
      </c>
      <c r="I96" s="47">
        <f t="shared" si="7"/>
        <v>2.8205999091321488E-2</v>
      </c>
      <c r="J96" s="47"/>
      <c r="K96" s="47"/>
      <c r="L96" s="65">
        <v>59.536529139999999</v>
      </c>
      <c r="M96" s="47">
        <f t="shared" si="8"/>
        <v>2.7707854849344127E-2</v>
      </c>
      <c r="N96" s="47"/>
      <c r="O96" s="47"/>
      <c r="P96" s="65">
        <v>998.59275400000001</v>
      </c>
      <c r="Q96" s="47">
        <f t="shared" si="9"/>
        <v>1.2323947753569708E-3</v>
      </c>
    </row>
    <row r="97" spans="1:17" ht="14.4" x14ac:dyDescent="0.3">
      <c r="A97" s="63">
        <v>44341</v>
      </c>
      <c r="B97" s="64">
        <v>12963</v>
      </c>
      <c r="C97" s="47">
        <f t="shared" si="5"/>
        <v>4.2415182447408384E-5</v>
      </c>
      <c r="D97" s="65">
        <v>404.88317690999997</v>
      </c>
      <c r="E97" s="47">
        <f t="shared" si="6"/>
        <v>7.7114721152506949E-3</v>
      </c>
      <c r="F97" s="47"/>
      <c r="G97" s="47"/>
      <c r="H97" s="65">
        <v>403.87848260999999</v>
      </c>
      <c r="I97" s="47">
        <f t="shared" si="7"/>
        <v>-6.2768338141122593E-3</v>
      </c>
      <c r="J97" s="47"/>
      <c r="K97" s="47"/>
      <c r="L97" s="65">
        <v>58.709630079999997</v>
      </c>
      <c r="M97" s="47">
        <f t="shared" si="8"/>
        <v>-1.3888936287427045E-2</v>
      </c>
      <c r="N97" s="47"/>
      <c r="O97" s="47"/>
      <c r="P97" s="65">
        <v>993.10549772000002</v>
      </c>
      <c r="Q97" s="47">
        <f t="shared" si="9"/>
        <v>-5.4949890814048885E-3</v>
      </c>
    </row>
    <row r="98" spans="1:17" ht="14.4" x14ac:dyDescent="0.3">
      <c r="A98" s="63">
        <v>44342</v>
      </c>
      <c r="B98" s="64">
        <v>13022.200195310001</v>
      </c>
      <c r="C98" s="47">
        <f t="shared" si="5"/>
        <v>4.5668591614596021E-3</v>
      </c>
      <c r="D98" s="65">
        <v>410.36487743999999</v>
      </c>
      <c r="E98" s="47">
        <f t="shared" si="6"/>
        <v>1.3538968380547356E-2</v>
      </c>
      <c r="F98" s="47"/>
      <c r="G98" s="47"/>
      <c r="H98" s="65">
        <v>402.88636546999999</v>
      </c>
      <c r="I98" s="47">
        <f t="shared" si="7"/>
        <v>-2.4564743672121914E-3</v>
      </c>
      <c r="J98" s="47"/>
      <c r="K98" s="47"/>
      <c r="L98" s="65">
        <v>61.287602300000003</v>
      </c>
      <c r="M98" s="47">
        <f t="shared" si="8"/>
        <v>4.3910551241545193E-2</v>
      </c>
      <c r="N98" s="47"/>
      <c r="O98" s="47"/>
      <c r="P98" s="65">
        <v>960.70874028000003</v>
      </c>
      <c r="Q98" s="47">
        <f t="shared" si="9"/>
        <v>-3.2621667601656967E-2</v>
      </c>
    </row>
    <row r="99" spans="1:17" ht="14.4" x14ac:dyDescent="0.3">
      <c r="A99" s="63">
        <v>44343</v>
      </c>
      <c r="B99" s="64">
        <v>13066.25</v>
      </c>
      <c r="C99" s="47">
        <f t="shared" si="5"/>
        <v>3.3826699044194886E-3</v>
      </c>
      <c r="D99" s="65">
        <v>410.36487743999999</v>
      </c>
      <c r="E99" s="47">
        <f t="shared" si="6"/>
        <v>0</v>
      </c>
      <c r="F99" s="47"/>
      <c r="G99" s="47"/>
      <c r="H99" s="65">
        <v>403.35879319999998</v>
      </c>
      <c r="I99" s="47">
        <f t="shared" si="7"/>
        <v>1.1726078877076773E-3</v>
      </c>
      <c r="J99" s="47"/>
      <c r="K99" s="47"/>
      <c r="L99" s="65">
        <v>59.341964130000001</v>
      </c>
      <c r="M99" s="47">
        <f t="shared" si="8"/>
        <v>-3.1746031774520955E-2</v>
      </c>
      <c r="N99" s="47"/>
      <c r="O99" s="47"/>
      <c r="P99" s="65">
        <v>964.65956443000005</v>
      </c>
      <c r="Q99" s="47">
        <f t="shared" si="9"/>
        <v>4.112405752495274E-3</v>
      </c>
    </row>
    <row r="100" spans="1:17" ht="14.4" x14ac:dyDescent="0.3">
      <c r="A100" s="63">
        <v>44344</v>
      </c>
      <c r="B100" s="64">
        <v>13117.049804689999</v>
      </c>
      <c r="C100" s="47">
        <f t="shared" si="5"/>
        <v>3.8878641301061112E-3</v>
      </c>
      <c r="D100" s="65">
        <v>395.20676474999999</v>
      </c>
      <c r="E100" s="47">
        <f t="shared" si="6"/>
        <v>-3.6938133654521366E-2</v>
      </c>
      <c r="F100" s="47"/>
      <c r="G100" s="47"/>
      <c r="H100" s="65">
        <v>400.28801291000002</v>
      </c>
      <c r="I100" s="47">
        <f t="shared" si="7"/>
        <v>-7.6130242894626443E-3</v>
      </c>
      <c r="J100" s="47"/>
      <c r="K100" s="47"/>
      <c r="L100" s="65">
        <v>59.731094149999997</v>
      </c>
      <c r="M100" s="47">
        <f t="shared" si="8"/>
        <v>6.5574172628923844E-3</v>
      </c>
      <c r="N100" s="47"/>
      <c r="O100" s="47"/>
      <c r="P100" s="65">
        <v>951.13896580999995</v>
      </c>
      <c r="Q100" s="47">
        <f t="shared" si="9"/>
        <v>-1.4015927606532586E-2</v>
      </c>
    </row>
    <row r="101" spans="1:17" ht="14.4" x14ac:dyDescent="0.3">
      <c r="A101" s="63">
        <v>44347</v>
      </c>
      <c r="B101" s="64">
        <v>13226.34960938</v>
      </c>
      <c r="C101" s="47">
        <f t="shared" si="5"/>
        <v>8.3326514969028764E-3</v>
      </c>
      <c r="D101" s="65">
        <v>391.72707659000002</v>
      </c>
      <c r="E101" s="47">
        <f t="shared" si="6"/>
        <v>-8.8047282343487465E-3</v>
      </c>
      <c r="F101" s="47"/>
      <c r="G101" s="47"/>
      <c r="H101" s="65">
        <v>400.38250790000001</v>
      </c>
      <c r="I101" s="47">
        <f t="shared" si="7"/>
        <v>2.3606749878180011E-4</v>
      </c>
      <c r="J101" s="47"/>
      <c r="K101" s="47"/>
      <c r="L101" s="65">
        <v>62.6495514</v>
      </c>
      <c r="M101" s="47">
        <f t="shared" si="8"/>
        <v>4.8859932862957756E-2</v>
      </c>
      <c r="N101" s="47"/>
      <c r="O101" s="47"/>
      <c r="P101" s="65">
        <v>924.84403648</v>
      </c>
      <c r="Q101" s="47">
        <f t="shared" si="9"/>
        <v>-2.7645728200828001E-2</v>
      </c>
    </row>
    <row r="102" spans="1:17" ht="14.4" x14ac:dyDescent="0.3">
      <c r="A102" s="63">
        <v>44348</v>
      </c>
      <c r="B102" s="64">
        <v>13210.40039063</v>
      </c>
      <c r="C102" s="47">
        <f t="shared" si="5"/>
        <v>-1.2058670170558283E-3</v>
      </c>
      <c r="D102" s="65">
        <v>383.33771051000002</v>
      </c>
      <c r="E102" s="47">
        <f t="shared" si="6"/>
        <v>-2.1416354858667885E-2</v>
      </c>
      <c r="F102" s="47"/>
      <c r="G102" s="47"/>
      <c r="H102" s="65">
        <v>392.20951749</v>
      </c>
      <c r="I102" s="47">
        <f t="shared" si="7"/>
        <v>-2.0412955732924565E-2</v>
      </c>
      <c r="J102" s="47"/>
      <c r="K102" s="47"/>
      <c r="L102" s="65">
        <v>60.314783210000002</v>
      </c>
      <c r="M102" s="47">
        <f t="shared" si="8"/>
        <v>-3.7267117446590392E-2</v>
      </c>
      <c r="N102" s="47"/>
      <c r="O102" s="47"/>
      <c r="P102" s="65">
        <v>930.37519009000005</v>
      </c>
      <c r="Q102" s="47">
        <f t="shared" si="9"/>
        <v>5.9806339142887133E-3</v>
      </c>
    </row>
    <row r="103" spans="1:17" ht="14.4" x14ac:dyDescent="0.3">
      <c r="A103" s="63">
        <v>44349</v>
      </c>
      <c r="B103" s="64">
        <v>13274.25</v>
      </c>
      <c r="C103" s="47">
        <f t="shared" si="5"/>
        <v>4.8332834344133602E-3</v>
      </c>
      <c r="D103" s="65">
        <v>389.15307976000003</v>
      </c>
      <c r="E103" s="47">
        <f t="shared" si="6"/>
        <v>1.5170355252195566E-2</v>
      </c>
      <c r="F103" s="47"/>
      <c r="G103" s="47"/>
      <c r="H103" s="65">
        <v>407.18547677999999</v>
      </c>
      <c r="I103" s="47">
        <f t="shared" si="7"/>
        <v>3.8183569296942999E-2</v>
      </c>
      <c r="J103" s="47"/>
      <c r="K103" s="47"/>
      <c r="L103" s="65">
        <v>61.044397279999998</v>
      </c>
      <c r="M103" s="47">
        <f t="shared" si="8"/>
        <v>1.2096770164284232E-2</v>
      </c>
      <c r="N103" s="47"/>
      <c r="O103" s="47"/>
      <c r="P103" s="65">
        <v>936.38922251999998</v>
      </c>
      <c r="Q103" s="47">
        <f t="shared" si="9"/>
        <v>6.4640937269815346E-3</v>
      </c>
    </row>
    <row r="104" spans="1:17" ht="14.4" x14ac:dyDescent="0.3">
      <c r="A104" s="63">
        <v>44350</v>
      </c>
      <c r="B104" s="64">
        <v>13380.5</v>
      </c>
      <c r="C104" s="47">
        <f t="shared" si="5"/>
        <v>8.0042186940880722E-3</v>
      </c>
      <c r="D104" s="65">
        <v>387.10338137000002</v>
      </c>
      <c r="E104" s="47">
        <f t="shared" si="6"/>
        <v>-5.2670748263488054E-3</v>
      </c>
      <c r="F104" s="47"/>
      <c r="G104" s="47"/>
      <c r="H104" s="65">
        <v>406.14613574999998</v>
      </c>
      <c r="I104" s="47">
        <f t="shared" si="7"/>
        <v>-2.5525002468630431E-3</v>
      </c>
      <c r="J104" s="47"/>
      <c r="K104" s="47"/>
      <c r="L104" s="65">
        <v>61.822651350000001</v>
      </c>
      <c r="M104" s="47">
        <f t="shared" si="8"/>
        <v>1.2748984422440657E-2</v>
      </c>
      <c r="N104" s="47"/>
      <c r="O104" s="47"/>
      <c r="P104" s="65">
        <v>939.24259500000005</v>
      </c>
      <c r="Q104" s="47">
        <f t="shared" si="9"/>
        <v>3.0472077330419012E-3</v>
      </c>
    </row>
    <row r="105" spans="1:17" ht="14.4" x14ac:dyDescent="0.3">
      <c r="A105" s="63">
        <v>44351</v>
      </c>
      <c r="B105" s="64">
        <v>13393.90039063</v>
      </c>
      <c r="C105" s="47">
        <f t="shared" si="5"/>
        <v>1.0014865386196448E-3</v>
      </c>
      <c r="D105" s="65">
        <v>386.76973170000002</v>
      </c>
      <c r="E105" s="47">
        <f t="shared" si="6"/>
        <v>-8.6191360256060445E-4</v>
      </c>
      <c r="F105" s="47"/>
      <c r="G105" s="47"/>
      <c r="H105" s="65">
        <v>414.08291229999998</v>
      </c>
      <c r="I105" s="47">
        <f t="shared" si="7"/>
        <v>1.9541676877815828E-2</v>
      </c>
      <c r="J105" s="47"/>
      <c r="K105" s="47"/>
      <c r="L105" s="65">
        <v>60.752553239999997</v>
      </c>
      <c r="M105" s="47">
        <f t="shared" si="8"/>
        <v>-1.7309159129099805E-2</v>
      </c>
      <c r="N105" s="47"/>
      <c r="O105" s="47"/>
      <c r="P105" s="65">
        <v>931.12145697999995</v>
      </c>
      <c r="Q105" s="47">
        <f t="shared" si="9"/>
        <v>-8.6464754294922619E-3</v>
      </c>
    </row>
    <row r="106" spans="1:17" ht="14.4" x14ac:dyDescent="0.3">
      <c r="A106" s="63">
        <v>44354</v>
      </c>
      <c r="B106" s="64">
        <v>13479.65039063</v>
      </c>
      <c r="C106" s="47">
        <f t="shared" si="5"/>
        <v>6.4021679644554741E-3</v>
      </c>
      <c r="D106" s="65">
        <v>387.34171616999998</v>
      </c>
      <c r="E106" s="47">
        <f t="shared" si="6"/>
        <v>1.4788759903363591E-3</v>
      </c>
      <c r="F106" s="47"/>
      <c r="G106" s="47"/>
      <c r="H106" s="65">
        <v>422.06695051999998</v>
      </c>
      <c r="I106" s="47">
        <f t="shared" si="7"/>
        <v>1.9281254992274732E-2</v>
      </c>
      <c r="J106" s="47"/>
      <c r="K106" s="47"/>
      <c r="L106" s="65">
        <v>61.093037279999997</v>
      </c>
      <c r="M106" s="47">
        <f t="shared" si="8"/>
        <v>5.6044400085528689E-3</v>
      </c>
      <c r="N106" s="47"/>
      <c r="O106" s="47"/>
      <c r="P106" s="65">
        <v>927.78520567999999</v>
      </c>
      <c r="Q106" s="47">
        <f t="shared" si="9"/>
        <v>-3.5830463093620146E-3</v>
      </c>
    </row>
    <row r="107" spans="1:17" ht="14.4" x14ac:dyDescent="0.3">
      <c r="A107" s="63">
        <v>44355</v>
      </c>
      <c r="B107" s="64">
        <v>13496.549804689999</v>
      </c>
      <c r="C107" s="47">
        <f t="shared" si="5"/>
        <v>1.2536982466360147E-3</v>
      </c>
      <c r="D107" s="65">
        <v>385.95939336999999</v>
      </c>
      <c r="E107" s="47">
        <f t="shared" si="6"/>
        <v>-3.5687423850657707E-3</v>
      </c>
      <c r="F107" s="47"/>
      <c r="G107" s="47"/>
      <c r="H107" s="65">
        <v>413.75220344000002</v>
      </c>
      <c r="I107" s="47">
        <f t="shared" si="7"/>
        <v>-1.9700066706848096E-2</v>
      </c>
      <c r="J107" s="47"/>
      <c r="K107" s="47"/>
      <c r="L107" s="65">
        <v>65.324803639999999</v>
      </c>
      <c r="M107" s="47">
        <f t="shared" si="8"/>
        <v>6.9267572024698687E-2</v>
      </c>
      <c r="N107" s="47"/>
      <c r="O107" s="47"/>
      <c r="P107" s="65">
        <v>923.74658481999995</v>
      </c>
      <c r="Q107" s="47">
        <f t="shared" si="9"/>
        <v>-4.3529696693536124E-3</v>
      </c>
    </row>
    <row r="108" spans="1:17" ht="14.4" x14ac:dyDescent="0.3">
      <c r="A108" s="63">
        <v>44356</v>
      </c>
      <c r="B108" s="64">
        <v>13396.40039063</v>
      </c>
      <c r="C108" s="47">
        <f t="shared" si="5"/>
        <v>-7.4203715400803505E-3</v>
      </c>
      <c r="D108" s="65">
        <v>377.66532307</v>
      </c>
      <c r="E108" s="47">
        <f t="shared" si="6"/>
        <v>-2.1489489419030394E-2</v>
      </c>
      <c r="F108" s="47"/>
      <c r="G108" s="47"/>
      <c r="H108" s="65">
        <v>409.07518772999998</v>
      </c>
      <c r="I108" s="47">
        <f t="shared" si="7"/>
        <v>-1.1303905262895486E-2</v>
      </c>
      <c r="J108" s="47"/>
      <c r="K108" s="47"/>
      <c r="L108" s="65">
        <v>73.982894380000005</v>
      </c>
      <c r="M108" s="47">
        <f t="shared" si="8"/>
        <v>0.13253910088599863</v>
      </c>
      <c r="N108" s="47"/>
      <c r="O108" s="47"/>
      <c r="P108" s="65">
        <v>926.33656923000001</v>
      </c>
      <c r="Q108" s="47">
        <f t="shared" si="9"/>
        <v>2.8037823928785954E-3</v>
      </c>
    </row>
    <row r="109" spans="1:17" ht="14.4" x14ac:dyDescent="0.3">
      <c r="A109" s="63">
        <v>44357</v>
      </c>
      <c r="B109" s="64">
        <v>13517.200195310001</v>
      </c>
      <c r="C109" s="47">
        <f t="shared" si="5"/>
        <v>9.0173331012479707E-3</v>
      </c>
      <c r="D109" s="65">
        <v>382.19368437000003</v>
      </c>
      <c r="E109" s="47">
        <f t="shared" si="6"/>
        <v>1.1990407970712047E-2</v>
      </c>
      <c r="F109" s="47"/>
      <c r="G109" s="47"/>
      <c r="H109" s="65">
        <v>411.106627</v>
      </c>
      <c r="I109" s="47">
        <f t="shared" si="7"/>
        <v>4.9659312784837706E-3</v>
      </c>
      <c r="J109" s="47"/>
      <c r="K109" s="47"/>
      <c r="L109" s="65">
        <v>75.879888559999998</v>
      </c>
      <c r="M109" s="47">
        <f t="shared" si="8"/>
        <v>2.5640983580020871E-2</v>
      </c>
      <c r="N109" s="47"/>
      <c r="O109" s="47"/>
      <c r="P109" s="65">
        <v>925.89758876999997</v>
      </c>
      <c r="Q109" s="47">
        <f t="shared" si="9"/>
        <v>-4.7388872962761397E-4</v>
      </c>
    </row>
    <row r="110" spans="1:17" ht="14.4" x14ac:dyDescent="0.3">
      <c r="A110" s="63">
        <v>44358</v>
      </c>
      <c r="B110" s="64">
        <v>13563.84960938</v>
      </c>
      <c r="C110" s="47">
        <f t="shared" si="5"/>
        <v>3.4511151270946172E-3</v>
      </c>
      <c r="D110" s="65">
        <v>378.42801351999998</v>
      </c>
      <c r="E110" s="47">
        <f t="shared" si="6"/>
        <v>-9.8527814665679836E-3</v>
      </c>
      <c r="F110" s="47"/>
      <c r="G110" s="47"/>
      <c r="H110" s="65">
        <v>413.42150401999999</v>
      </c>
      <c r="I110" s="47">
        <f t="shared" si="7"/>
        <v>5.6308433578229344E-3</v>
      </c>
      <c r="J110" s="47"/>
      <c r="K110" s="47"/>
      <c r="L110" s="65">
        <v>80.500778960000005</v>
      </c>
      <c r="M110" s="47">
        <f t="shared" si="8"/>
        <v>6.0897432609513746E-2</v>
      </c>
      <c r="N110" s="47"/>
      <c r="O110" s="47"/>
      <c r="P110" s="65">
        <v>922.21015371999999</v>
      </c>
      <c r="Q110" s="47">
        <f t="shared" si="9"/>
        <v>-3.9825517365247309E-3</v>
      </c>
    </row>
    <row r="111" spans="1:17" ht="14.4" x14ac:dyDescent="0.3">
      <c r="A111" s="63">
        <v>44361</v>
      </c>
      <c r="B111" s="64">
        <v>13554.15039063</v>
      </c>
      <c r="C111" s="47">
        <f t="shared" si="5"/>
        <v>-7.1507861184871846E-4</v>
      </c>
      <c r="D111" s="65">
        <v>371.70695294000001</v>
      </c>
      <c r="E111" s="47">
        <f t="shared" si="6"/>
        <v>-1.7760473167625968E-2</v>
      </c>
      <c r="F111" s="47"/>
      <c r="G111" s="47"/>
      <c r="H111" s="65">
        <v>415.45296218999999</v>
      </c>
      <c r="I111" s="47">
        <f t="shared" si="7"/>
        <v>4.913769966599757E-3</v>
      </c>
      <c r="J111" s="47"/>
      <c r="K111" s="47"/>
      <c r="L111" s="65">
        <v>82.738266139999993</v>
      </c>
      <c r="M111" s="47">
        <f t="shared" si="8"/>
        <v>2.7794602846163308E-2</v>
      </c>
      <c r="N111" s="47"/>
      <c r="O111" s="47"/>
      <c r="P111" s="65">
        <v>919.26898452</v>
      </c>
      <c r="Q111" s="47">
        <f t="shared" si="9"/>
        <v>-3.1892613501770528E-3</v>
      </c>
    </row>
    <row r="112" spans="1:17" ht="14.4" x14ac:dyDescent="0.3">
      <c r="A112" s="63">
        <v>44362</v>
      </c>
      <c r="B112" s="64">
        <v>13607.799804689999</v>
      </c>
      <c r="C112" s="47">
        <f t="shared" si="5"/>
        <v>3.9581539612461025E-3</v>
      </c>
      <c r="D112" s="65">
        <v>375.18664109999997</v>
      </c>
      <c r="E112" s="47">
        <f t="shared" si="6"/>
        <v>9.3613749553984604E-3</v>
      </c>
      <c r="F112" s="47"/>
      <c r="G112" s="47"/>
      <c r="H112" s="65">
        <v>412.61839576</v>
      </c>
      <c r="I112" s="47">
        <f t="shared" si="7"/>
        <v>-6.8228336008437918E-3</v>
      </c>
      <c r="J112" s="47"/>
      <c r="K112" s="47"/>
      <c r="L112" s="65">
        <v>80.889908980000001</v>
      </c>
      <c r="M112" s="47">
        <f t="shared" si="8"/>
        <v>-2.2339810177704478E-2</v>
      </c>
      <c r="N112" s="47"/>
      <c r="O112" s="47"/>
      <c r="P112" s="65">
        <v>921.02490637000005</v>
      </c>
      <c r="Q112" s="47">
        <f t="shared" si="9"/>
        <v>1.9101284602971447E-3</v>
      </c>
    </row>
    <row r="113" spans="1:17" ht="14.4" x14ac:dyDescent="0.3">
      <c r="A113" s="63">
        <v>44363</v>
      </c>
      <c r="B113" s="64">
        <v>13510.59960938</v>
      </c>
      <c r="C113" s="47">
        <f t="shared" si="5"/>
        <v>-7.1429765799830847E-3</v>
      </c>
      <c r="D113" s="65">
        <v>384.00502890000001</v>
      </c>
      <c r="E113" s="47">
        <f t="shared" si="6"/>
        <v>2.3504002632251719E-2</v>
      </c>
      <c r="F113" s="47"/>
      <c r="G113" s="47"/>
      <c r="H113" s="65">
        <v>411.106627</v>
      </c>
      <c r="I113" s="47">
        <f t="shared" si="7"/>
        <v>-3.6638423675111609E-3</v>
      </c>
      <c r="J113" s="47"/>
      <c r="K113" s="47"/>
      <c r="L113" s="65">
        <v>79.041550830000006</v>
      </c>
      <c r="M113" s="47">
        <f t="shared" si="8"/>
        <v>-2.2850293359299001E-2</v>
      </c>
      <c r="N113" s="47"/>
      <c r="O113" s="47"/>
      <c r="P113" s="65">
        <v>917.42526597000005</v>
      </c>
      <c r="Q113" s="47">
        <f t="shared" si="9"/>
        <v>-3.9082986519736185E-3</v>
      </c>
    </row>
    <row r="114" spans="1:17" ht="14.4" x14ac:dyDescent="0.3">
      <c r="A114" s="63">
        <v>44364</v>
      </c>
      <c r="B114" s="64">
        <v>13425.15039063</v>
      </c>
      <c r="C114" s="47">
        <f t="shared" si="5"/>
        <v>-6.3246059553623279E-3</v>
      </c>
      <c r="D114" s="65">
        <v>397.49479795000002</v>
      </c>
      <c r="E114" s="47">
        <f t="shared" si="6"/>
        <v>3.5129146846441195E-2</v>
      </c>
      <c r="F114" s="47"/>
      <c r="G114" s="47"/>
      <c r="H114" s="65">
        <v>402.98086045999997</v>
      </c>
      <c r="I114" s="47">
        <f t="shared" si="7"/>
        <v>-1.976559365947661E-2</v>
      </c>
      <c r="J114" s="47"/>
      <c r="K114" s="47"/>
      <c r="L114" s="65">
        <v>79.527959870000004</v>
      </c>
      <c r="M114" s="47">
        <f t="shared" si="8"/>
        <v>6.1538397829028479E-3</v>
      </c>
      <c r="N114" s="47"/>
      <c r="O114" s="47"/>
      <c r="P114" s="65">
        <v>890.91084692000004</v>
      </c>
      <c r="Q114" s="47">
        <f t="shared" si="9"/>
        <v>-2.8900903467015571E-2</v>
      </c>
    </row>
    <row r="115" spans="1:17" ht="14.4" x14ac:dyDescent="0.3">
      <c r="A115" s="63">
        <v>44365</v>
      </c>
      <c r="B115" s="64">
        <v>13386.549804689999</v>
      </c>
      <c r="C115" s="47">
        <f t="shared" si="5"/>
        <v>-2.8752442108166409E-3</v>
      </c>
      <c r="D115" s="65">
        <v>396.16010397000002</v>
      </c>
      <c r="E115" s="47">
        <f t="shared" si="6"/>
        <v>-3.3577646471939504E-3</v>
      </c>
      <c r="F115" s="47"/>
      <c r="G115" s="47"/>
      <c r="H115" s="65">
        <v>399.62663297</v>
      </c>
      <c r="I115" s="47">
        <f t="shared" si="7"/>
        <v>-8.32354044351169E-3</v>
      </c>
      <c r="J115" s="47"/>
      <c r="K115" s="47"/>
      <c r="L115" s="65">
        <v>77.485041690000003</v>
      </c>
      <c r="M115" s="47">
        <f t="shared" si="8"/>
        <v>-2.5688049628576515E-2</v>
      </c>
      <c r="N115" s="47"/>
      <c r="O115" s="47"/>
      <c r="P115" s="65">
        <v>873.13213771999995</v>
      </c>
      <c r="Q115" s="47">
        <f t="shared" si="9"/>
        <v>-1.9955654666753198E-2</v>
      </c>
    </row>
    <row r="116" spans="1:17" ht="14.4" x14ac:dyDescent="0.3">
      <c r="A116" s="63">
        <v>44368</v>
      </c>
      <c r="B116" s="64">
        <v>13456.09960938</v>
      </c>
      <c r="C116" s="47">
        <f t="shared" si="5"/>
        <v>5.195498892898831E-3</v>
      </c>
      <c r="D116" s="65">
        <v>413.03421772000002</v>
      </c>
      <c r="E116" s="47">
        <f t="shared" si="6"/>
        <v>4.2594177406813927E-2</v>
      </c>
      <c r="F116" s="47"/>
      <c r="G116" s="47"/>
      <c r="H116" s="65">
        <v>400.28801291000002</v>
      </c>
      <c r="I116" s="47">
        <f t="shared" si="7"/>
        <v>1.6549946510939773E-3</v>
      </c>
      <c r="J116" s="47"/>
      <c r="K116" s="47"/>
      <c r="L116" s="65">
        <v>80.014369909999999</v>
      </c>
      <c r="M116" s="47">
        <f t="shared" si="8"/>
        <v>3.2642793561617589E-2</v>
      </c>
      <c r="N116" s="47"/>
      <c r="O116" s="47"/>
      <c r="P116" s="65">
        <v>874.53685734999999</v>
      </c>
      <c r="Q116" s="47">
        <f t="shared" si="9"/>
        <v>1.6088282280710686E-3</v>
      </c>
    </row>
    <row r="117" spans="1:17" ht="14.4" x14ac:dyDescent="0.3">
      <c r="A117" s="63">
        <v>44369</v>
      </c>
      <c r="B117" s="64">
        <v>13491.09960938</v>
      </c>
      <c r="C117" s="47">
        <f t="shared" si="5"/>
        <v>2.6010509000395921E-3</v>
      </c>
      <c r="D117" s="65">
        <v>416.60923980000001</v>
      </c>
      <c r="E117" s="47">
        <f t="shared" si="6"/>
        <v>8.6555106735093368E-3</v>
      </c>
      <c r="F117" s="47"/>
      <c r="G117" s="47"/>
      <c r="H117" s="65">
        <v>398.96522469000001</v>
      </c>
      <c r="I117" s="47">
        <f t="shared" si="7"/>
        <v>-3.304591137725188E-3</v>
      </c>
      <c r="J117" s="47"/>
      <c r="K117" s="47"/>
      <c r="L117" s="65">
        <v>79.333398840000001</v>
      </c>
      <c r="M117" s="47">
        <f t="shared" si="8"/>
        <v>-8.5106096663131181E-3</v>
      </c>
      <c r="N117" s="47"/>
      <c r="O117" s="47"/>
      <c r="P117" s="65">
        <v>896.39810217000002</v>
      </c>
      <c r="Q117" s="47">
        <f t="shared" si="9"/>
        <v>2.4997511124051908E-2</v>
      </c>
    </row>
    <row r="118" spans="1:17" ht="14.4" x14ac:dyDescent="0.3">
      <c r="A118" s="63">
        <v>44370</v>
      </c>
      <c r="B118" s="64">
        <v>13423.34960938</v>
      </c>
      <c r="C118" s="47">
        <f t="shared" si="5"/>
        <v>-5.0218293513224488E-3</v>
      </c>
      <c r="D118" s="65">
        <v>417.89625728999999</v>
      </c>
      <c r="E118" s="47">
        <f t="shared" si="6"/>
        <v>3.0892677527214474E-3</v>
      </c>
      <c r="F118" s="47"/>
      <c r="G118" s="47"/>
      <c r="H118" s="65">
        <v>397.21723261</v>
      </c>
      <c r="I118" s="47">
        <f t="shared" si="7"/>
        <v>-4.3813143898900897E-3</v>
      </c>
      <c r="J118" s="47"/>
      <c r="K118" s="47"/>
      <c r="L118" s="65">
        <v>77.971451729999998</v>
      </c>
      <c r="M118" s="47">
        <f t="shared" si="8"/>
        <v>-1.7167386370862348E-2</v>
      </c>
      <c r="N118" s="47"/>
      <c r="O118" s="47"/>
      <c r="P118" s="65">
        <v>913.38664613000003</v>
      </c>
      <c r="Q118" s="47">
        <f t="shared" si="9"/>
        <v>1.8952007951460681E-2</v>
      </c>
    </row>
    <row r="119" spans="1:17" ht="14.4" x14ac:dyDescent="0.3">
      <c r="A119" s="63">
        <v>44371</v>
      </c>
      <c r="B119" s="64">
        <v>13468.25</v>
      </c>
      <c r="C119" s="47">
        <f t="shared" si="5"/>
        <v>3.3449468222614964E-3</v>
      </c>
      <c r="D119" s="65">
        <v>429.57466275000002</v>
      </c>
      <c r="E119" s="47">
        <f t="shared" si="6"/>
        <v>2.7945704840078855E-2</v>
      </c>
      <c r="F119" s="47"/>
      <c r="G119" s="47"/>
      <c r="H119" s="65">
        <v>413.65771789000001</v>
      </c>
      <c r="I119" s="47">
        <f t="shared" si="7"/>
        <v>4.1389154171319165E-2</v>
      </c>
      <c r="J119" s="47"/>
      <c r="K119" s="47"/>
      <c r="L119" s="65">
        <v>79.138830839999997</v>
      </c>
      <c r="M119" s="47">
        <f t="shared" si="8"/>
        <v>1.4971878605549271E-2</v>
      </c>
      <c r="N119" s="47"/>
      <c r="O119" s="47"/>
      <c r="P119" s="65">
        <v>909.56751601999997</v>
      </c>
      <c r="Q119" s="47">
        <f t="shared" si="9"/>
        <v>-4.18128524889394E-3</v>
      </c>
    </row>
    <row r="120" spans="1:17" ht="14.4" x14ac:dyDescent="0.3">
      <c r="A120" s="63">
        <v>44372</v>
      </c>
      <c r="B120" s="64">
        <v>13539.40039063</v>
      </c>
      <c r="C120" s="47">
        <f t="shared" si="5"/>
        <v>5.2828237246858034E-3</v>
      </c>
      <c r="D120" s="65">
        <v>434.96101981999999</v>
      </c>
      <c r="E120" s="47">
        <f t="shared" si="6"/>
        <v>1.2538814639388329E-2</v>
      </c>
      <c r="F120" s="47"/>
      <c r="G120" s="47"/>
      <c r="H120" s="65">
        <v>402.41393772999999</v>
      </c>
      <c r="I120" s="47">
        <f t="shared" si="7"/>
        <v>-2.7181361966005846E-2</v>
      </c>
      <c r="J120" s="47"/>
      <c r="K120" s="47"/>
      <c r="L120" s="65">
        <v>86.921383520000006</v>
      </c>
      <c r="M120" s="47">
        <f t="shared" si="8"/>
        <v>9.8340506138314021E-2</v>
      </c>
      <c r="N120" s="47"/>
      <c r="O120" s="47"/>
      <c r="P120" s="65">
        <v>917.29357192999998</v>
      </c>
      <c r="Q120" s="47">
        <f t="shared" si="9"/>
        <v>8.4942082626333626E-3</v>
      </c>
    </row>
    <row r="121" spans="1:17" ht="14.4" x14ac:dyDescent="0.3">
      <c r="A121" s="63">
        <v>44375</v>
      </c>
      <c r="B121" s="64">
        <v>13533.049804689999</v>
      </c>
      <c r="C121" s="47">
        <f t="shared" si="5"/>
        <v>-4.690448436990291E-4</v>
      </c>
      <c r="D121" s="65">
        <v>432.38699438999998</v>
      </c>
      <c r="E121" s="47">
        <f t="shared" si="6"/>
        <v>-5.9178301335259809E-3</v>
      </c>
      <c r="F121" s="47"/>
      <c r="G121" s="47"/>
      <c r="H121" s="65">
        <v>397.73692202000001</v>
      </c>
      <c r="I121" s="47">
        <f t="shared" si="7"/>
        <v>-1.162239990091507E-2</v>
      </c>
      <c r="J121" s="47"/>
      <c r="K121" s="47"/>
      <c r="L121" s="65">
        <v>87.748278589999998</v>
      </c>
      <c r="M121" s="47">
        <f t="shared" si="8"/>
        <v>9.5131374641514999E-3</v>
      </c>
      <c r="N121" s="47"/>
      <c r="O121" s="47"/>
      <c r="P121" s="65">
        <v>908.11888060000001</v>
      </c>
      <c r="Q121" s="47">
        <f t="shared" si="9"/>
        <v>-1.0001913902761062E-2</v>
      </c>
    </row>
    <row r="122" spans="1:17" ht="14.4" x14ac:dyDescent="0.3">
      <c r="A122" s="63">
        <v>44376</v>
      </c>
      <c r="B122" s="64">
        <v>13481.950195310001</v>
      </c>
      <c r="C122" s="47">
        <f t="shared" si="5"/>
        <v>-3.7759123122630411E-3</v>
      </c>
      <c r="D122" s="65">
        <v>428.14465392</v>
      </c>
      <c r="E122" s="47">
        <f t="shared" si="6"/>
        <v>-9.8114432789195849E-3</v>
      </c>
      <c r="F122" s="47"/>
      <c r="G122" s="47"/>
      <c r="H122" s="65">
        <v>391.07567202000001</v>
      </c>
      <c r="I122" s="47">
        <f t="shared" si="7"/>
        <v>-1.674787939266309E-2</v>
      </c>
      <c r="J122" s="47"/>
      <c r="K122" s="47"/>
      <c r="L122" s="65">
        <v>85.462154389999995</v>
      </c>
      <c r="M122" s="47">
        <f t="shared" si="8"/>
        <v>-2.6053208527107574E-2</v>
      </c>
      <c r="N122" s="47"/>
      <c r="O122" s="47"/>
      <c r="P122" s="65">
        <v>904.78262930000005</v>
      </c>
      <c r="Q122" s="47">
        <f t="shared" si="9"/>
        <v>-3.6738045769907357E-3</v>
      </c>
    </row>
    <row r="123" spans="1:17" ht="14.4" x14ac:dyDescent="0.3">
      <c r="A123" s="63">
        <v>44377</v>
      </c>
      <c r="B123" s="64">
        <v>13473.549804689999</v>
      </c>
      <c r="C123" s="47">
        <f t="shared" si="5"/>
        <v>-6.2308423472179353E-4</v>
      </c>
      <c r="D123" s="65">
        <v>431.67198997000003</v>
      </c>
      <c r="E123" s="47">
        <f t="shared" si="6"/>
        <v>8.2386548978352625E-3</v>
      </c>
      <c r="F123" s="47"/>
      <c r="G123" s="47"/>
      <c r="H123" s="65">
        <v>402.31945217999998</v>
      </c>
      <c r="I123" s="47">
        <f t="shared" si="7"/>
        <v>2.8750906702846413E-2</v>
      </c>
      <c r="J123" s="47"/>
      <c r="K123" s="47"/>
      <c r="L123" s="65">
        <v>87.407792560000004</v>
      </c>
      <c r="M123" s="47">
        <f t="shared" si="8"/>
        <v>2.2766079136283368E-2</v>
      </c>
      <c r="N123" s="47"/>
      <c r="O123" s="47"/>
      <c r="P123" s="65">
        <v>901.57807203000004</v>
      </c>
      <c r="Q123" s="47">
        <f t="shared" si="9"/>
        <v>-3.5417979592283766E-3</v>
      </c>
    </row>
    <row r="124" spans="1:17" ht="14.4" x14ac:dyDescent="0.3">
      <c r="A124" s="63">
        <v>44378</v>
      </c>
      <c r="B124" s="64">
        <v>13454.09960938</v>
      </c>
      <c r="C124" s="47">
        <f t="shared" si="5"/>
        <v>-1.4435835835355793E-3</v>
      </c>
      <c r="D124" s="65">
        <v>423.71162654</v>
      </c>
      <c r="E124" s="47">
        <f t="shared" si="6"/>
        <v>-1.8440768951798914E-2</v>
      </c>
      <c r="F124" s="47"/>
      <c r="G124" s="47"/>
      <c r="H124" s="65">
        <v>396.74480487</v>
      </c>
      <c r="I124" s="47">
        <f t="shared" si="7"/>
        <v>-1.3856270880747368E-2</v>
      </c>
      <c r="J124" s="47"/>
      <c r="K124" s="47"/>
      <c r="L124" s="65">
        <v>89.450711740000003</v>
      </c>
      <c r="M124" s="47">
        <f t="shared" si="8"/>
        <v>2.33722774613907E-2</v>
      </c>
      <c r="N124" s="47"/>
      <c r="O124" s="47"/>
      <c r="P124" s="65">
        <v>916.37171367999997</v>
      </c>
      <c r="Q124" s="47">
        <f t="shared" si="9"/>
        <v>1.6408608537572755E-2</v>
      </c>
    </row>
    <row r="125" spans="1:17" ht="14.4" x14ac:dyDescent="0.3">
      <c r="A125" s="63">
        <v>44379</v>
      </c>
      <c r="B125" s="64">
        <v>13494.450195310001</v>
      </c>
      <c r="C125" s="47">
        <f t="shared" si="5"/>
        <v>2.9991294179112504E-3</v>
      </c>
      <c r="D125" s="65">
        <v>409.84052179999998</v>
      </c>
      <c r="E125" s="47">
        <f t="shared" si="6"/>
        <v>-3.2737135049303534E-2</v>
      </c>
      <c r="F125" s="47"/>
      <c r="G125" s="47"/>
      <c r="H125" s="65">
        <v>401.51634392</v>
      </c>
      <c r="I125" s="47">
        <f t="shared" si="7"/>
        <v>1.2026720933531854E-2</v>
      </c>
      <c r="J125" s="47"/>
      <c r="K125" s="47"/>
      <c r="L125" s="65">
        <v>87.602361560000006</v>
      </c>
      <c r="M125" s="47">
        <f t="shared" si="8"/>
        <v>-2.0663336758822703E-2</v>
      </c>
      <c r="N125" s="47"/>
      <c r="O125" s="47"/>
      <c r="P125" s="65">
        <v>918.52271762999999</v>
      </c>
      <c r="Q125" s="47">
        <f t="shared" si="9"/>
        <v>2.3473050486924052E-3</v>
      </c>
    </row>
    <row r="126" spans="1:17" ht="14.4" x14ac:dyDescent="0.3">
      <c r="A126" s="63">
        <v>44382</v>
      </c>
      <c r="B126" s="64">
        <v>13585.75</v>
      </c>
      <c r="C126" s="47">
        <f t="shared" si="5"/>
        <v>6.7657298643950536E-3</v>
      </c>
      <c r="D126" s="65">
        <v>413.51088733</v>
      </c>
      <c r="E126" s="47">
        <f t="shared" si="6"/>
        <v>8.9555945173014351E-3</v>
      </c>
      <c r="F126" s="47"/>
      <c r="G126" s="47"/>
      <c r="H126" s="65">
        <v>397.40622259999998</v>
      </c>
      <c r="I126" s="47">
        <f t="shared" si="7"/>
        <v>-1.0236498170592356E-2</v>
      </c>
      <c r="J126" s="47"/>
      <c r="K126" s="47"/>
      <c r="L126" s="65">
        <v>86.240413439999998</v>
      </c>
      <c r="M126" s="47">
        <f t="shared" si="8"/>
        <v>-1.5546933846836919E-2</v>
      </c>
      <c r="N126" s="47"/>
      <c r="O126" s="47"/>
      <c r="P126" s="65">
        <v>922.03456132999997</v>
      </c>
      <c r="Q126" s="47">
        <f t="shared" si="9"/>
        <v>3.8233607428472816E-3</v>
      </c>
    </row>
    <row r="127" spans="1:17" ht="14.4" x14ac:dyDescent="0.3">
      <c r="A127" s="63">
        <v>44383</v>
      </c>
      <c r="B127" s="64">
        <v>13574.15039063</v>
      </c>
      <c r="C127" s="47">
        <f t="shared" si="5"/>
        <v>-8.5380706769955239E-4</v>
      </c>
      <c r="D127" s="65">
        <v>400.25948168999997</v>
      </c>
      <c r="E127" s="47">
        <f t="shared" si="6"/>
        <v>-3.2046086441793742E-2</v>
      </c>
      <c r="F127" s="47"/>
      <c r="G127" s="47"/>
      <c r="H127" s="65">
        <v>398.25658307999998</v>
      </c>
      <c r="I127" s="47">
        <f t="shared" si="7"/>
        <v>2.1397764595545432E-3</v>
      </c>
      <c r="J127" s="47"/>
      <c r="K127" s="47"/>
      <c r="L127" s="65">
        <v>84.148851269999994</v>
      </c>
      <c r="M127" s="47">
        <f t="shared" si="8"/>
        <v>-2.4252691824757644E-2</v>
      </c>
      <c r="N127" s="47"/>
      <c r="O127" s="47"/>
      <c r="P127" s="65">
        <v>922.60523581999996</v>
      </c>
      <c r="Q127" s="47">
        <f t="shared" si="9"/>
        <v>6.1892960842691025E-4</v>
      </c>
    </row>
    <row r="128" spans="1:17" ht="14.4" x14ac:dyDescent="0.3">
      <c r="A128" s="63">
        <v>44384</v>
      </c>
      <c r="B128" s="64">
        <v>13631</v>
      </c>
      <c r="C128" s="47">
        <f t="shared" si="5"/>
        <v>4.1880786446304441E-3</v>
      </c>
      <c r="D128" s="65">
        <v>406.36084317000001</v>
      </c>
      <c r="E128" s="47">
        <f t="shared" si="6"/>
        <v>1.5243515167307153E-2</v>
      </c>
      <c r="H128" s="65">
        <v>405.51053325999999</v>
      </c>
      <c r="I128" s="47">
        <f t="shared" si="7"/>
        <v>1.8214263086124172E-2</v>
      </c>
      <c r="L128" s="65">
        <v>82.835547149999996</v>
      </c>
      <c r="M128" s="47">
        <f t="shared" si="8"/>
        <v>-1.5606916793030612E-2</v>
      </c>
      <c r="P128" s="65">
        <v>923.65878913999995</v>
      </c>
      <c r="Q128" s="47">
        <f t="shared" si="9"/>
        <v>1.141932951489899E-3</v>
      </c>
    </row>
    <row r="129" spans="1:17" ht="14.4" x14ac:dyDescent="0.3">
      <c r="A129" s="63">
        <v>44385</v>
      </c>
      <c r="B129" s="64">
        <v>13532.700195310001</v>
      </c>
      <c r="C129" s="47">
        <f t="shared" si="5"/>
        <v>-7.2114888628860285E-3</v>
      </c>
      <c r="D129" s="65">
        <v>399.78281207999999</v>
      </c>
      <c r="E129" s="47">
        <f t="shared" si="6"/>
        <v>-1.6187659811622401E-2</v>
      </c>
      <c r="H129" s="65">
        <v>404.08818831000002</v>
      </c>
      <c r="I129" s="47">
        <f t="shared" si="7"/>
        <v>-3.5075413172757086E-3</v>
      </c>
      <c r="L129" s="65">
        <v>86.143132429999994</v>
      </c>
      <c r="M129" s="47">
        <f t="shared" si="8"/>
        <v>3.9929539838863715E-2</v>
      </c>
      <c r="P129" s="65">
        <v>919.26898452</v>
      </c>
      <c r="Q129" s="47">
        <f t="shared" si="9"/>
        <v>-4.7526258306784808E-3</v>
      </c>
    </row>
    <row r="130" spans="1:17" ht="14.4" x14ac:dyDescent="0.3">
      <c r="A130" s="63">
        <v>44386</v>
      </c>
      <c r="B130" s="64">
        <v>13527.950195310001</v>
      </c>
      <c r="C130" s="47">
        <f t="shared" si="5"/>
        <v>-3.5100164279455726E-4</v>
      </c>
      <c r="D130" s="65">
        <v>397.59011279999999</v>
      </c>
      <c r="E130" s="47">
        <f t="shared" si="6"/>
        <v>-5.4847262407099473E-3</v>
      </c>
      <c r="H130" s="65">
        <v>402.38139335</v>
      </c>
      <c r="I130" s="47">
        <f t="shared" si="7"/>
        <v>-4.2238179916573859E-3</v>
      </c>
      <c r="L130" s="65">
        <v>86.824103500000007</v>
      </c>
      <c r="M130" s="47">
        <f t="shared" si="8"/>
        <v>7.9051115369337399E-3</v>
      </c>
      <c r="P130" s="65">
        <v>909.69921005000003</v>
      </c>
      <c r="Q130" s="47">
        <f t="shared" si="9"/>
        <v>-1.0410200530149405E-2</v>
      </c>
    </row>
    <row r="131" spans="1:17" ht="14.4" x14ac:dyDescent="0.3">
      <c r="A131" s="63">
        <v>44389</v>
      </c>
      <c r="B131" s="64">
        <v>13549</v>
      </c>
      <c r="C131" s="47">
        <f t="shared" si="5"/>
        <v>1.556023224959624E-3</v>
      </c>
      <c r="D131" s="65">
        <v>398.30511722</v>
      </c>
      <c r="E131" s="47">
        <f t="shared" si="6"/>
        <v>1.7983455749557287E-3</v>
      </c>
      <c r="H131" s="65">
        <v>407.54922766999999</v>
      </c>
      <c r="I131" s="47">
        <f t="shared" si="7"/>
        <v>1.2843124471973111E-2</v>
      </c>
      <c r="L131" s="65">
        <v>86.434973479999996</v>
      </c>
      <c r="M131" s="47">
        <f t="shared" si="8"/>
        <v>-4.4818201894823995E-3</v>
      </c>
      <c r="P131" s="65">
        <v>900.78790678999997</v>
      </c>
      <c r="Q131" s="47">
        <f t="shared" si="9"/>
        <v>-9.795878859244378E-3</v>
      </c>
    </row>
    <row r="132" spans="1:17" ht="14.4" x14ac:dyDescent="0.3">
      <c r="A132" s="63">
        <v>44390</v>
      </c>
      <c r="B132" s="64">
        <v>13628.84960938</v>
      </c>
      <c r="C132" s="47">
        <f t="shared" ref="C132:C195" si="10">B132/B131-1</f>
        <v>5.8933950387483058E-3</v>
      </c>
      <c r="D132" s="65">
        <v>399.44913381999999</v>
      </c>
      <c r="E132" s="47">
        <f t="shared" ref="E132:E195" si="11">D132/D131-1</f>
        <v>2.8722116551871402E-3</v>
      </c>
      <c r="H132" s="65">
        <v>445.99997155</v>
      </c>
      <c r="I132" s="47">
        <f t="shared" ref="I132:I195" si="12">H132/H131-1</f>
        <v>9.4346256278847074E-2</v>
      </c>
      <c r="L132" s="65">
        <v>86.678178500000001</v>
      </c>
      <c r="M132" s="47">
        <f t="shared" ref="M132:M195" si="13">L132/L131-1</f>
        <v>2.8137339575429188E-3</v>
      </c>
      <c r="P132" s="65">
        <v>910.84055905000002</v>
      </c>
      <c r="Q132" s="47">
        <f t="shared" ref="Q132:Q195" si="14">P132/P131-1</f>
        <v>1.1159843714846351E-2</v>
      </c>
    </row>
    <row r="133" spans="1:17" ht="14.4" x14ac:dyDescent="0.3">
      <c r="A133" s="63">
        <v>44391</v>
      </c>
      <c r="B133" s="64">
        <v>13661.09960938</v>
      </c>
      <c r="C133" s="47">
        <f t="shared" si="10"/>
        <v>2.3663039012333797E-3</v>
      </c>
      <c r="D133" s="65">
        <v>393.49076367999999</v>
      </c>
      <c r="E133" s="47">
        <f t="shared" si="11"/>
        <v>-1.4916467794082067E-2</v>
      </c>
      <c r="H133" s="65">
        <v>437.94001687999997</v>
      </c>
      <c r="I133" s="47">
        <f t="shared" si="12"/>
        <v>-1.8071648394929252E-2</v>
      </c>
      <c r="L133" s="65">
        <v>86.240413439999998</v>
      </c>
      <c r="M133" s="47">
        <f t="shared" si="13"/>
        <v>-5.0504644603255322E-3</v>
      </c>
      <c r="P133" s="65">
        <v>922.07845968000004</v>
      </c>
      <c r="Q133" s="47">
        <f t="shared" si="14"/>
        <v>1.2337944899732056E-2</v>
      </c>
    </row>
    <row r="134" spans="1:17" ht="14.4" x14ac:dyDescent="0.3">
      <c r="A134" s="63">
        <v>44392</v>
      </c>
      <c r="B134" s="64">
        <v>13720.34960938</v>
      </c>
      <c r="C134" s="47">
        <f t="shared" si="10"/>
        <v>4.3371325657648452E-3</v>
      </c>
      <c r="D134" s="65">
        <v>396.06478910999999</v>
      </c>
      <c r="E134" s="47">
        <f t="shared" si="11"/>
        <v>6.5415142300349061E-3</v>
      </c>
      <c r="H134" s="65">
        <v>429.88006221000001</v>
      </c>
      <c r="I134" s="47">
        <f t="shared" si="12"/>
        <v>-1.8404243410824139E-2</v>
      </c>
      <c r="L134" s="65">
        <v>84.294775279999996</v>
      </c>
      <c r="M134" s="47">
        <f t="shared" si="13"/>
        <v>-2.2560631175007506E-2</v>
      </c>
      <c r="P134" s="65">
        <v>913.43054448999999</v>
      </c>
      <c r="Q134" s="47">
        <f t="shared" si="14"/>
        <v>-9.3787194562610088E-3</v>
      </c>
    </row>
    <row r="135" spans="1:17" ht="14.4" x14ac:dyDescent="0.3">
      <c r="A135" s="63">
        <v>44393</v>
      </c>
      <c r="B135" s="64">
        <v>13742.34960938</v>
      </c>
      <c r="C135" s="47">
        <f t="shared" si="10"/>
        <v>1.6034576833932057E-3</v>
      </c>
      <c r="D135" s="65">
        <v>398.06678240999997</v>
      </c>
      <c r="E135" s="47">
        <f t="shared" si="11"/>
        <v>5.0547116407360093E-3</v>
      </c>
      <c r="H135" s="65">
        <v>447.56454150000002</v>
      </c>
      <c r="I135" s="47">
        <f t="shared" si="12"/>
        <v>4.1138170491286985E-2</v>
      </c>
      <c r="L135" s="65">
        <v>85.413518370000006</v>
      </c>
      <c r="M135" s="47">
        <f t="shared" si="13"/>
        <v>1.3271796339499264E-2</v>
      </c>
      <c r="P135" s="65">
        <v>908.47006538000005</v>
      </c>
      <c r="Q135" s="47">
        <f t="shared" si="14"/>
        <v>-5.4306034979042517E-3</v>
      </c>
    </row>
    <row r="136" spans="1:17" ht="14.4" x14ac:dyDescent="0.3">
      <c r="A136" s="63">
        <v>44396</v>
      </c>
      <c r="B136" s="64">
        <v>13619.84960938</v>
      </c>
      <c r="C136" s="47">
        <f t="shared" si="10"/>
        <v>-8.914050615943192E-3</v>
      </c>
      <c r="D136" s="65">
        <v>398.16303792000002</v>
      </c>
      <c r="E136" s="47">
        <f t="shared" si="11"/>
        <v>2.4180744099600027E-4</v>
      </c>
      <c r="H136" s="65">
        <v>449.31877641</v>
      </c>
      <c r="I136" s="47">
        <f t="shared" si="12"/>
        <v>3.9195127123357043E-3</v>
      </c>
      <c r="L136" s="65">
        <v>89.839840769999995</v>
      </c>
      <c r="M136" s="47">
        <f t="shared" si="13"/>
        <v>5.1822269875662519E-2</v>
      </c>
      <c r="P136" s="65">
        <v>911.41123354000001</v>
      </c>
      <c r="Q136" s="47">
        <f t="shared" si="14"/>
        <v>3.2374959529015701E-3</v>
      </c>
    </row>
    <row r="137" spans="1:17" ht="14.4" x14ac:dyDescent="0.3">
      <c r="A137" s="63">
        <v>44397</v>
      </c>
      <c r="B137" s="64">
        <v>13495.59960938</v>
      </c>
      <c r="C137" s="47">
        <f t="shared" si="10"/>
        <v>-9.1227145352933414E-3</v>
      </c>
      <c r="D137" s="65">
        <v>399.07748941</v>
      </c>
      <c r="E137" s="47">
        <f t="shared" si="11"/>
        <v>2.2966759917673052E-3</v>
      </c>
      <c r="H137" s="65">
        <v>443.86645413000002</v>
      </c>
      <c r="I137" s="47">
        <f t="shared" si="12"/>
        <v>-1.2134641520132661E-2</v>
      </c>
      <c r="L137" s="65">
        <v>86.434973479999996</v>
      </c>
      <c r="M137" s="47">
        <f t="shared" si="13"/>
        <v>-3.7899302367608079E-2</v>
      </c>
      <c r="P137" s="65">
        <v>922.12235700999997</v>
      </c>
      <c r="Q137" s="47">
        <f t="shared" si="14"/>
        <v>1.1752239906454687E-2</v>
      </c>
    </row>
    <row r="138" spans="1:17" ht="14.4" x14ac:dyDescent="0.3">
      <c r="A138" s="63">
        <v>44399</v>
      </c>
      <c r="B138" s="64">
        <v>13670.200195310001</v>
      </c>
      <c r="C138" s="47">
        <f t="shared" si="10"/>
        <v>1.2937593807143211E-2</v>
      </c>
      <c r="D138" s="65">
        <v>414.04528205000003</v>
      </c>
      <c r="E138" s="47">
        <f t="shared" si="11"/>
        <v>3.7505980761101121E-2</v>
      </c>
      <c r="H138" s="65">
        <v>450.40923137999999</v>
      </c>
      <c r="I138" s="47">
        <f t="shared" si="12"/>
        <v>1.4740418405405631E-2</v>
      </c>
      <c r="L138" s="65">
        <v>91.882759949999993</v>
      </c>
      <c r="M138" s="47">
        <f t="shared" si="13"/>
        <v>6.3027571487142886E-2</v>
      </c>
      <c r="P138" s="65">
        <v>937.66226555000003</v>
      </c>
      <c r="Q138" s="47">
        <f t="shared" si="14"/>
        <v>1.685232813396742E-2</v>
      </c>
    </row>
    <row r="139" spans="1:17" ht="14.4" x14ac:dyDescent="0.3">
      <c r="A139" s="63">
        <v>44400</v>
      </c>
      <c r="B139" s="64">
        <v>13687</v>
      </c>
      <c r="C139" s="47">
        <f t="shared" si="10"/>
        <v>1.2289362591604291E-3</v>
      </c>
      <c r="D139" s="65">
        <v>414.95973354</v>
      </c>
      <c r="E139" s="47">
        <f t="shared" si="11"/>
        <v>2.2085784566181488E-3</v>
      </c>
      <c r="H139" s="65">
        <v>451.31005933</v>
      </c>
      <c r="I139" s="47">
        <f t="shared" si="12"/>
        <v>2.0000210636001992E-3</v>
      </c>
      <c r="L139" s="65">
        <v>90.715379839999997</v>
      </c>
      <c r="M139" s="47">
        <f t="shared" si="13"/>
        <v>-1.2705104968932734E-2</v>
      </c>
      <c r="P139" s="65">
        <v>984.89656299000001</v>
      </c>
      <c r="Q139" s="47">
        <f t="shared" si="14"/>
        <v>5.0374531614849616E-2</v>
      </c>
    </row>
    <row r="140" spans="1:17" ht="14.4" x14ac:dyDescent="0.3">
      <c r="A140" s="63">
        <v>44403</v>
      </c>
      <c r="B140" s="64">
        <v>13675.09960938</v>
      </c>
      <c r="C140" s="47">
        <f t="shared" si="10"/>
        <v>-8.6946669248189057E-4</v>
      </c>
      <c r="D140" s="65">
        <v>410.77258683000002</v>
      </c>
      <c r="E140" s="47">
        <f t="shared" si="11"/>
        <v>-1.0090489200674124E-2</v>
      </c>
      <c r="H140" s="65">
        <v>450.17217389000001</v>
      </c>
      <c r="I140" s="47">
        <f t="shared" si="12"/>
        <v>-2.5212942111001446E-3</v>
      </c>
      <c r="L140" s="65">
        <v>91.250432869999997</v>
      </c>
      <c r="M140" s="47">
        <f t="shared" si="13"/>
        <v>5.8981512390039459E-3</v>
      </c>
      <c r="P140" s="65">
        <v>1001.75341291</v>
      </c>
      <c r="Q140" s="47">
        <f t="shared" si="14"/>
        <v>1.7115350538766227E-2</v>
      </c>
    </row>
    <row r="141" spans="1:17" ht="14.4" x14ac:dyDescent="0.3">
      <c r="A141" s="63">
        <v>44404</v>
      </c>
      <c r="B141" s="64">
        <v>13610.299804689999</v>
      </c>
      <c r="C141" s="47">
        <f t="shared" si="10"/>
        <v>-4.7385252422990076E-3</v>
      </c>
      <c r="D141" s="65">
        <v>404.61221085</v>
      </c>
      <c r="E141" s="47">
        <f t="shared" si="11"/>
        <v>-1.4997047460105994E-2</v>
      </c>
      <c r="H141" s="65">
        <v>443.62939663999998</v>
      </c>
      <c r="I141" s="47">
        <f t="shared" si="12"/>
        <v>-1.4533944187316128E-2</v>
      </c>
      <c r="L141" s="65">
        <v>87.505073569999993</v>
      </c>
      <c r="M141" s="47">
        <f t="shared" si="13"/>
        <v>-4.104483871693887E-2</v>
      </c>
      <c r="P141" s="65">
        <v>988.18891696000003</v>
      </c>
      <c r="Q141" s="47">
        <f t="shared" si="14"/>
        <v>-1.3540753418145424E-2</v>
      </c>
    </row>
    <row r="142" spans="1:17" ht="14.4" x14ac:dyDescent="0.3">
      <c r="A142" s="63">
        <v>44405</v>
      </c>
      <c r="B142" s="64">
        <v>13579.15039063</v>
      </c>
      <c r="C142" s="47">
        <f t="shared" si="10"/>
        <v>-2.2886647984980968E-3</v>
      </c>
      <c r="D142" s="65">
        <v>406.77797141000002</v>
      </c>
      <c r="E142" s="47">
        <f t="shared" si="11"/>
        <v>5.3526821532405844E-3</v>
      </c>
      <c r="H142" s="65">
        <v>436.89695444</v>
      </c>
      <c r="I142" s="47">
        <f t="shared" si="12"/>
        <v>-1.5175825251867336E-2</v>
      </c>
      <c r="L142" s="65">
        <v>85.899928410000001</v>
      </c>
      <c r="M142" s="47">
        <f t="shared" si="13"/>
        <v>-1.8343452493825407E-2</v>
      </c>
      <c r="P142" s="65">
        <v>984.94046133999996</v>
      </c>
      <c r="Q142" s="47">
        <f t="shared" si="14"/>
        <v>-3.2872819804470321E-3</v>
      </c>
    </row>
    <row r="143" spans="1:17" ht="14.4" x14ac:dyDescent="0.3">
      <c r="A143" s="63">
        <v>44406</v>
      </c>
      <c r="B143" s="64">
        <v>13643.75</v>
      </c>
      <c r="C143" s="47">
        <f t="shared" si="10"/>
        <v>4.7572644467193115E-3</v>
      </c>
      <c r="D143" s="65">
        <v>413.94902603000003</v>
      </c>
      <c r="E143" s="47">
        <f t="shared" si="11"/>
        <v>1.7628915831265912E-2</v>
      </c>
      <c r="H143" s="65">
        <v>443.62939663999998</v>
      </c>
      <c r="I143" s="47">
        <f t="shared" si="12"/>
        <v>1.5409679860619363E-2</v>
      </c>
      <c r="L143" s="65">
        <v>88.283331630000006</v>
      </c>
      <c r="M143" s="47">
        <f t="shared" si="13"/>
        <v>2.7746277140349163E-2</v>
      </c>
      <c r="P143" s="65">
        <v>1001.3583308</v>
      </c>
      <c r="Q143" s="47">
        <f t="shared" si="14"/>
        <v>1.6668895333697309E-2</v>
      </c>
    </row>
    <row r="144" spans="1:17" ht="14.4" x14ac:dyDescent="0.3">
      <c r="A144" s="63">
        <v>44407</v>
      </c>
      <c r="B144" s="64">
        <v>13664.25</v>
      </c>
      <c r="C144" s="47">
        <f t="shared" si="10"/>
        <v>1.5025194686211218E-3</v>
      </c>
      <c r="D144" s="65">
        <v>410.86885247999999</v>
      </c>
      <c r="E144" s="47">
        <f t="shared" si="11"/>
        <v>-7.4409489002561502E-3</v>
      </c>
      <c r="H144" s="65">
        <v>446.99559404000001</v>
      </c>
      <c r="I144" s="47">
        <f t="shared" si="12"/>
        <v>7.587859202963676E-3</v>
      </c>
      <c r="L144" s="65">
        <v>86.678178500000001</v>
      </c>
      <c r="M144" s="47">
        <f t="shared" si="13"/>
        <v>-1.8181836824274877E-2</v>
      </c>
      <c r="P144" s="65">
        <v>1012.28894398</v>
      </c>
      <c r="Q144" s="47">
        <f t="shared" si="14"/>
        <v>1.0915785931762789E-2</v>
      </c>
    </row>
    <row r="145" spans="1:17" ht="14.4" x14ac:dyDescent="0.3">
      <c r="A145" s="63">
        <v>44410</v>
      </c>
      <c r="B145" s="64">
        <v>13783.700195310001</v>
      </c>
      <c r="C145" s="47">
        <f t="shared" si="10"/>
        <v>8.7418040002196218E-3</v>
      </c>
      <c r="D145" s="65">
        <v>403.50526656</v>
      </c>
      <c r="E145" s="47">
        <f t="shared" si="11"/>
        <v>-1.7921986238561227E-2</v>
      </c>
      <c r="H145" s="65">
        <v>453.87026126000001</v>
      </c>
      <c r="I145" s="47">
        <f t="shared" si="12"/>
        <v>1.5379720318640988E-2</v>
      </c>
      <c r="L145" s="65">
        <v>87.115951519999996</v>
      </c>
      <c r="M145" s="47">
        <f t="shared" si="13"/>
        <v>5.0505562942810833E-3</v>
      </c>
      <c r="P145" s="65">
        <v>1009.83065361</v>
      </c>
      <c r="Q145" s="47">
        <f t="shared" si="14"/>
        <v>-2.4284473169634557E-3</v>
      </c>
    </row>
    <row r="146" spans="1:17" ht="14.4" x14ac:dyDescent="0.3">
      <c r="A146" s="63">
        <v>44411</v>
      </c>
      <c r="B146" s="64">
        <v>13939.200195310001</v>
      </c>
      <c r="C146" s="47">
        <f t="shared" si="10"/>
        <v>1.1281440962631395E-2</v>
      </c>
      <c r="D146" s="65">
        <v>400.04004966000002</v>
      </c>
      <c r="E146" s="47">
        <f t="shared" si="11"/>
        <v>-8.5877860518202009E-3</v>
      </c>
      <c r="H146" s="65">
        <v>451.68935131000001</v>
      </c>
      <c r="I146" s="47">
        <f t="shared" si="12"/>
        <v>-4.805139565534744E-3</v>
      </c>
      <c r="L146" s="65">
        <v>86.53225449</v>
      </c>
      <c r="M146" s="47">
        <f t="shared" si="13"/>
        <v>-6.700231356205677E-3</v>
      </c>
      <c r="P146" s="65">
        <v>1013.07910922</v>
      </c>
      <c r="Q146" s="47">
        <f t="shared" si="14"/>
        <v>3.2168320484105006E-3</v>
      </c>
    </row>
    <row r="147" spans="1:17" ht="14.4" x14ac:dyDescent="0.3">
      <c r="A147" s="63">
        <v>44412</v>
      </c>
      <c r="B147" s="64">
        <v>13969.34960938</v>
      </c>
      <c r="C147" s="47">
        <f t="shared" si="10"/>
        <v>2.1629228110335852E-3</v>
      </c>
      <c r="D147" s="65">
        <v>400.37694575</v>
      </c>
      <c r="E147" s="47">
        <f t="shared" si="11"/>
        <v>8.4215590485592351E-4</v>
      </c>
      <c r="H147" s="65">
        <v>447.09042651999999</v>
      </c>
      <c r="I147" s="47">
        <f t="shared" si="12"/>
        <v>-1.0181609942014558E-2</v>
      </c>
      <c r="L147" s="65">
        <v>85.413518370000006</v>
      </c>
      <c r="M147" s="47">
        <f t="shared" si="13"/>
        <v>-1.2928544698084576E-2</v>
      </c>
      <c r="P147" s="65">
        <v>990.86669705999998</v>
      </c>
      <c r="Q147" s="47">
        <f t="shared" si="14"/>
        <v>-2.1925644263952826E-2</v>
      </c>
    </row>
    <row r="148" spans="1:17" ht="14.4" x14ac:dyDescent="0.3">
      <c r="A148" s="63">
        <v>44413</v>
      </c>
      <c r="B148" s="64">
        <v>13981.549804689999</v>
      </c>
      <c r="C148" s="47">
        <f t="shared" si="10"/>
        <v>8.7335456919235277E-4</v>
      </c>
      <c r="D148" s="65">
        <v>400.66570419999999</v>
      </c>
      <c r="E148" s="47">
        <f t="shared" si="11"/>
        <v>7.2121647628597962E-4</v>
      </c>
      <c r="H148" s="65">
        <v>438.55635687</v>
      </c>
      <c r="I148" s="47">
        <f t="shared" si="12"/>
        <v>-1.9088016973269339E-2</v>
      </c>
      <c r="L148" s="65">
        <v>82.008652069999997</v>
      </c>
      <c r="M148" s="47">
        <f t="shared" si="13"/>
        <v>-3.9863318652330615E-2</v>
      </c>
      <c r="P148" s="65">
        <v>995.78327883999998</v>
      </c>
      <c r="Q148" s="47">
        <f t="shared" si="14"/>
        <v>4.9619003187693078E-3</v>
      </c>
    </row>
    <row r="149" spans="1:17" ht="14.4" x14ac:dyDescent="0.3">
      <c r="A149" s="63">
        <v>44414</v>
      </c>
      <c r="B149" s="64">
        <v>13954.65039063</v>
      </c>
      <c r="C149" s="47">
        <f t="shared" si="10"/>
        <v>-1.9239222000250189E-3</v>
      </c>
      <c r="D149" s="65">
        <v>403.26462650000002</v>
      </c>
      <c r="E149" s="47">
        <f t="shared" si="11"/>
        <v>6.4865105067808404E-3</v>
      </c>
      <c r="H149" s="65">
        <v>440.50021880999998</v>
      </c>
      <c r="I149" s="47">
        <f t="shared" si="12"/>
        <v>4.4324108168751764E-3</v>
      </c>
      <c r="L149" s="65">
        <v>83.078752170000001</v>
      </c>
      <c r="M149" s="47">
        <f t="shared" si="13"/>
        <v>1.3048624419367272E-2</v>
      </c>
      <c r="P149" s="65">
        <v>996.17836094999996</v>
      </c>
      <c r="Q149" s="47">
        <f t="shared" si="14"/>
        <v>3.9675511569159383E-4</v>
      </c>
    </row>
    <row r="150" spans="1:17" ht="14.4" x14ac:dyDescent="0.3">
      <c r="A150" s="63">
        <v>44417</v>
      </c>
      <c r="B150" s="64">
        <v>13935.049804689999</v>
      </c>
      <c r="C150" s="47">
        <f t="shared" si="10"/>
        <v>-1.4045916874536601E-3</v>
      </c>
      <c r="D150" s="65">
        <v>399.17374544</v>
      </c>
      <c r="E150" s="47">
        <f t="shared" si="11"/>
        <v>-1.014440838886721E-2</v>
      </c>
      <c r="H150" s="65">
        <v>429.02665524999998</v>
      </c>
      <c r="I150" s="47">
        <f t="shared" si="12"/>
        <v>-2.6046669377362663E-2</v>
      </c>
      <c r="L150" s="65">
        <v>87.261868550000003</v>
      </c>
      <c r="M150" s="47">
        <f t="shared" si="13"/>
        <v>5.0351218220517913E-2</v>
      </c>
      <c r="P150" s="65">
        <v>990.47161495</v>
      </c>
      <c r="Q150" s="47">
        <f t="shared" si="14"/>
        <v>-5.7286387897019786E-3</v>
      </c>
    </row>
    <row r="151" spans="1:17" ht="14.4" x14ac:dyDescent="0.3">
      <c r="A151" s="63">
        <v>44418</v>
      </c>
      <c r="B151" s="64">
        <v>13892.75</v>
      </c>
      <c r="C151" s="47">
        <f t="shared" si="10"/>
        <v>-3.035497201865911E-3</v>
      </c>
      <c r="D151" s="65">
        <v>378.57493683000001</v>
      </c>
      <c r="E151" s="47">
        <f t="shared" si="11"/>
        <v>-5.1603615832234606E-2</v>
      </c>
      <c r="H151" s="65">
        <v>414.56614834999999</v>
      </c>
      <c r="I151" s="47">
        <f t="shared" si="12"/>
        <v>-3.370538105977039E-2</v>
      </c>
      <c r="L151" s="65">
        <v>82.88418317</v>
      </c>
      <c r="M151" s="47">
        <f t="shared" si="13"/>
        <v>-5.0167220261753132E-2</v>
      </c>
      <c r="P151" s="65">
        <v>965.18634057999998</v>
      </c>
      <c r="Q151" s="47">
        <f t="shared" si="14"/>
        <v>-2.5528519937723204E-2</v>
      </c>
    </row>
    <row r="152" spans="1:17" ht="14.4" x14ac:dyDescent="0.3">
      <c r="A152" s="63">
        <v>44419</v>
      </c>
      <c r="B152" s="64">
        <v>13876.549804689999</v>
      </c>
      <c r="C152" s="47">
        <f t="shared" si="10"/>
        <v>-1.166089889330868E-3</v>
      </c>
      <c r="D152" s="65">
        <v>381.27012478</v>
      </c>
      <c r="E152" s="47">
        <f t="shared" si="11"/>
        <v>7.1192984209893506E-3</v>
      </c>
      <c r="H152" s="65">
        <v>409.77756807999998</v>
      </c>
      <c r="I152" s="47">
        <f t="shared" si="12"/>
        <v>-1.1550823165516255E-2</v>
      </c>
      <c r="L152" s="65">
        <v>80.646703959999996</v>
      </c>
      <c r="M152" s="47">
        <f t="shared" si="13"/>
        <v>-2.6995249569037982E-2</v>
      </c>
      <c r="P152" s="65">
        <v>930.37519009000005</v>
      </c>
      <c r="Q152" s="47">
        <f t="shared" si="14"/>
        <v>-3.6066766619470836E-2</v>
      </c>
    </row>
    <row r="153" spans="1:17" ht="14.4" x14ac:dyDescent="0.3">
      <c r="A153" s="63">
        <v>44420</v>
      </c>
      <c r="B153" s="64">
        <v>13971.950195310001</v>
      </c>
      <c r="C153" s="47">
        <f t="shared" si="10"/>
        <v>6.8749359143840394E-3</v>
      </c>
      <c r="D153" s="65">
        <v>380.21129888000002</v>
      </c>
      <c r="E153" s="47">
        <f t="shared" si="11"/>
        <v>-2.7771016693504125E-3</v>
      </c>
      <c r="H153" s="65">
        <v>411.62663547</v>
      </c>
      <c r="I153" s="47">
        <f t="shared" si="12"/>
        <v>4.5123684994856639E-3</v>
      </c>
      <c r="L153" s="65">
        <v>83.321956189999995</v>
      </c>
      <c r="M153" s="47">
        <f t="shared" si="13"/>
        <v>3.3172493091929711E-2</v>
      </c>
      <c r="P153" s="65">
        <v>922.29794939999999</v>
      </c>
      <c r="Q153" s="47">
        <f t="shared" si="14"/>
        <v>-8.6817025819644345E-3</v>
      </c>
    </row>
    <row r="154" spans="1:17" ht="14.4" x14ac:dyDescent="0.3">
      <c r="A154" s="63">
        <v>44421</v>
      </c>
      <c r="B154" s="64">
        <v>14065.299804689999</v>
      </c>
      <c r="C154" s="47">
        <f t="shared" si="10"/>
        <v>6.6812154405855306E-3</v>
      </c>
      <c r="D154" s="65">
        <v>390.46255592</v>
      </c>
      <c r="E154" s="47">
        <f t="shared" si="11"/>
        <v>2.6961999998941222E-2</v>
      </c>
      <c r="H154" s="65">
        <v>410.96285553000001</v>
      </c>
      <c r="I154" s="47">
        <f t="shared" si="12"/>
        <v>-1.612577716799235E-3</v>
      </c>
      <c r="L154" s="65">
        <v>80.549422949999993</v>
      </c>
      <c r="M154" s="47">
        <f t="shared" si="13"/>
        <v>-3.3274941765382482E-2</v>
      </c>
      <c r="P154" s="65">
        <v>924.80013813000005</v>
      </c>
      <c r="Q154" s="47">
        <f t="shared" si="14"/>
        <v>2.7129939209209475E-3</v>
      </c>
    </row>
    <row r="155" spans="1:17" ht="14.4" x14ac:dyDescent="0.3">
      <c r="A155" s="63">
        <v>44424</v>
      </c>
      <c r="B155" s="64">
        <v>14070.799804689999</v>
      </c>
      <c r="C155" s="47">
        <f t="shared" si="10"/>
        <v>3.9103325747569251E-4</v>
      </c>
      <c r="D155" s="65">
        <v>380.11503322999999</v>
      </c>
      <c r="E155" s="47">
        <f t="shared" si="11"/>
        <v>-2.6500678574977288E-2</v>
      </c>
      <c r="H155" s="65">
        <v>405.41571026000003</v>
      </c>
      <c r="I155" s="47">
        <f t="shared" si="12"/>
        <v>-1.3497923706136672E-2</v>
      </c>
      <c r="L155" s="65">
        <v>79.236111859999994</v>
      </c>
      <c r="M155" s="47">
        <f t="shared" si="13"/>
        <v>-1.6304413388724348E-2</v>
      </c>
      <c r="P155" s="65">
        <v>919.09339212999998</v>
      </c>
      <c r="Q155" s="47">
        <f t="shared" si="14"/>
        <v>-6.170788438180197E-3</v>
      </c>
    </row>
    <row r="156" spans="1:17" ht="14.4" x14ac:dyDescent="0.3">
      <c r="A156" s="63">
        <v>44425</v>
      </c>
      <c r="B156" s="64">
        <v>14113.09960938</v>
      </c>
      <c r="C156" s="47">
        <f t="shared" si="10"/>
        <v>3.0062118200204768E-3</v>
      </c>
      <c r="D156" s="65">
        <v>388.58558268000002</v>
      </c>
      <c r="E156" s="47">
        <f t="shared" si="11"/>
        <v>2.2284173761879744E-2</v>
      </c>
      <c r="H156" s="65">
        <v>396.45495609</v>
      </c>
      <c r="I156" s="47">
        <f t="shared" si="12"/>
        <v>-2.2102631800463124E-2</v>
      </c>
      <c r="L156" s="65">
        <v>77.825526719999999</v>
      </c>
      <c r="M156" s="47">
        <f t="shared" si="13"/>
        <v>-1.7802301335687942E-2</v>
      </c>
      <c r="P156" s="65">
        <v>912.46478686</v>
      </c>
      <c r="Q156" s="47">
        <f t="shared" si="14"/>
        <v>-7.2121128568209958E-3</v>
      </c>
    </row>
    <row r="157" spans="1:17" ht="14.4" x14ac:dyDescent="0.3">
      <c r="A157" s="63">
        <v>44426</v>
      </c>
      <c r="B157" s="64">
        <v>14095.549804689999</v>
      </c>
      <c r="C157" s="47">
        <f t="shared" si="10"/>
        <v>-1.2435117143463348E-3</v>
      </c>
      <c r="D157" s="65">
        <v>386.37167485999998</v>
      </c>
      <c r="E157" s="47">
        <f t="shared" si="11"/>
        <v>-5.6973493579745016E-3</v>
      </c>
      <c r="H157" s="65">
        <v>386.87782400999998</v>
      </c>
      <c r="I157" s="47">
        <f t="shared" si="12"/>
        <v>-2.4156923587117185E-2</v>
      </c>
      <c r="L157" s="65">
        <v>76.852707640000006</v>
      </c>
      <c r="M157" s="47">
        <f t="shared" si="13"/>
        <v>-1.2499999948602847E-2</v>
      </c>
      <c r="P157" s="65">
        <v>911.93801070999996</v>
      </c>
      <c r="Q157" s="47">
        <f t="shared" si="14"/>
        <v>-5.7731120979775952E-4</v>
      </c>
    </row>
    <row r="158" spans="1:17" ht="14.4" x14ac:dyDescent="0.3">
      <c r="A158" s="63">
        <v>44428</v>
      </c>
      <c r="B158" s="64">
        <v>13943.950195310001</v>
      </c>
      <c r="C158" s="47">
        <f t="shared" si="10"/>
        <v>-1.0755139847723916E-2</v>
      </c>
      <c r="D158" s="65">
        <v>374.72469582999997</v>
      </c>
      <c r="E158" s="47">
        <f t="shared" si="11"/>
        <v>-3.0144495023399998E-2</v>
      </c>
      <c r="H158" s="65">
        <v>378.10669687000001</v>
      </c>
      <c r="I158" s="47">
        <f t="shared" si="12"/>
        <v>-2.2671568633960471E-2</v>
      </c>
      <c r="L158" s="65">
        <v>77.290473689999999</v>
      </c>
      <c r="M158" s="47">
        <f t="shared" si="13"/>
        <v>5.6961695097408338E-3</v>
      </c>
      <c r="P158" s="65">
        <v>910.31378289999998</v>
      </c>
      <c r="Q158" s="47">
        <f t="shared" si="14"/>
        <v>-1.7810726068271387E-3</v>
      </c>
    </row>
    <row r="159" spans="1:17" ht="14.4" x14ac:dyDescent="0.3">
      <c r="A159" s="63">
        <v>44431</v>
      </c>
      <c r="B159" s="64">
        <v>13930.549804689999</v>
      </c>
      <c r="C159" s="47">
        <f t="shared" si="10"/>
        <v>-9.6101825037420152E-4</v>
      </c>
      <c r="D159" s="65">
        <v>365.53225506000001</v>
      </c>
      <c r="E159" s="47">
        <f t="shared" si="11"/>
        <v>-2.453118481993577E-2</v>
      </c>
      <c r="H159" s="65">
        <v>373.65000657000002</v>
      </c>
      <c r="I159" s="47">
        <f t="shared" si="12"/>
        <v>-1.1786858939269895E-2</v>
      </c>
      <c r="L159" s="65">
        <v>76.658146610000003</v>
      </c>
      <c r="M159" s="47">
        <f t="shared" si="13"/>
        <v>-8.1811774441461482E-3</v>
      </c>
      <c r="P159" s="65">
        <v>944.33476814999995</v>
      </c>
      <c r="Q159" s="47">
        <f t="shared" si="14"/>
        <v>3.7372811319651644E-2</v>
      </c>
    </row>
    <row r="160" spans="1:17" ht="14.4" x14ac:dyDescent="0.3">
      <c r="A160" s="63">
        <v>44432</v>
      </c>
      <c r="B160" s="64">
        <v>14063.25</v>
      </c>
      <c r="C160" s="47">
        <f t="shared" si="10"/>
        <v>9.5258404851561451E-3</v>
      </c>
      <c r="D160" s="65">
        <v>359.90126796999999</v>
      </c>
      <c r="E160" s="47">
        <f t="shared" si="11"/>
        <v>-1.5404897959212183E-2</v>
      </c>
      <c r="H160" s="65">
        <v>365.35299442000002</v>
      </c>
      <c r="I160" s="47">
        <f t="shared" si="12"/>
        <v>-2.2205304440281459E-2</v>
      </c>
      <c r="L160" s="65">
        <v>77.728246709999993</v>
      </c>
      <c r="M160" s="47">
        <f t="shared" si="13"/>
        <v>1.3959378713447768E-2</v>
      </c>
      <c r="P160" s="65">
        <v>999.64630628999998</v>
      </c>
      <c r="Q160" s="47">
        <f t="shared" si="14"/>
        <v>5.8571959865840961E-2</v>
      </c>
    </row>
    <row r="161" spans="1:17" ht="14.4" x14ac:dyDescent="0.3">
      <c r="A161" s="63">
        <v>44433</v>
      </c>
      <c r="B161" s="64">
        <v>14093.59960938</v>
      </c>
      <c r="C161" s="47">
        <f t="shared" si="10"/>
        <v>2.1580793472348869E-3</v>
      </c>
      <c r="D161" s="65">
        <v>375.83165937000001</v>
      </c>
      <c r="E161" s="47">
        <f t="shared" si="11"/>
        <v>4.4263226661729771E-2</v>
      </c>
      <c r="H161" s="65">
        <v>370.80531668999998</v>
      </c>
      <c r="I161" s="47">
        <f t="shared" si="12"/>
        <v>1.4923436657897193E-2</v>
      </c>
      <c r="L161" s="65">
        <v>78.311936759999995</v>
      </c>
      <c r="M161" s="47">
        <f t="shared" si="13"/>
        <v>7.509368533394456E-3</v>
      </c>
      <c r="P161" s="65">
        <v>1030.8578173999999</v>
      </c>
      <c r="Q161" s="47">
        <f t="shared" si="14"/>
        <v>3.1222554331076902E-2</v>
      </c>
    </row>
    <row r="162" spans="1:17" ht="14.4" x14ac:dyDescent="0.3">
      <c r="A162" s="63">
        <v>44434</v>
      </c>
      <c r="B162" s="64">
        <v>14106.950195310001</v>
      </c>
      <c r="C162" s="47">
        <f t="shared" si="10"/>
        <v>9.4728006329303227E-4</v>
      </c>
      <c r="D162" s="65">
        <v>377.85301664000002</v>
      </c>
      <c r="E162" s="47">
        <f t="shared" si="11"/>
        <v>5.3783581547877102E-3</v>
      </c>
      <c r="H162" s="65">
        <v>372.0380346</v>
      </c>
      <c r="I162" s="47">
        <f t="shared" si="12"/>
        <v>3.3244342907590152E-3</v>
      </c>
      <c r="L162" s="65">
        <v>77.922806739999999</v>
      </c>
      <c r="M162" s="47">
        <f t="shared" si="13"/>
        <v>-4.9689745407849317E-3</v>
      </c>
      <c r="P162" s="65">
        <v>1032.2625554900001</v>
      </c>
      <c r="Q162" s="47">
        <f t="shared" si="14"/>
        <v>1.3626884971811304E-3</v>
      </c>
    </row>
    <row r="163" spans="1:17" ht="14.4" x14ac:dyDescent="0.3">
      <c r="A163" s="63">
        <v>44435</v>
      </c>
      <c r="B163" s="64">
        <v>14192.5</v>
      </c>
      <c r="C163" s="47">
        <f t="shared" si="10"/>
        <v>6.0643727740983255E-3</v>
      </c>
      <c r="D163" s="65">
        <v>387.67114082000001</v>
      </c>
      <c r="E163" s="47">
        <f t="shared" si="11"/>
        <v>2.5983977228251742E-2</v>
      </c>
      <c r="H163" s="65">
        <v>368.05544980000002</v>
      </c>
      <c r="I163" s="47">
        <f t="shared" si="12"/>
        <v>-1.0704778623728317E-2</v>
      </c>
      <c r="L163" s="65">
        <v>77.38776068</v>
      </c>
      <c r="M163" s="47">
        <f t="shared" si="13"/>
        <v>-6.8663602144780622E-3</v>
      </c>
      <c r="P163" s="65">
        <v>1036.08168458</v>
      </c>
      <c r="Q163" s="47">
        <f t="shared" si="14"/>
        <v>3.6997652096244504E-3</v>
      </c>
    </row>
    <row r="164" spans="1:17" ht="14.4" x14ac:dyDescent="0.3">
      <c r="A164" s="63">
        <v>44438</v>
      </c>
      <c r="B164" s="64">
        <v>14397.90039063</v>
      </c>
      <c r="C164" s="47">
        <f t="shared" si="10"/>
        <v>1.4472460146556232E-2</v>
      </c>
      <c r="D164" s="65">
        <v>403.02398643999999</v>
      </c>
      <c r="E164" s="47">
        <f t="shared" si="11"/>
        <v>3.960275605639807E-2</v>
      </c>
      <c r="H164" s="65">
        <v>398.20918152000002</v>
      </c>
      <c r="I164" s="47">
        <f t="shared" si="12"/>
        <v>8.1927143685511128E-2</v>
      </c>
      <c r="L164" s="65">
        <v>79.819808879999997</v>
      </c>
      <c r="M164" s="47">
        <f t="shared" si="13"/>
        <v>3.1426780909924013E-2</v>
      </c>
      <c r="P164" s="65">
        <v>1064.39592485</v>
      </c>
      <c r="Q164" s="47">
        <f t="shared" si="14"/>
        <v>2.7328193028986814E-2</v>
      </c>
    </row>
    <row r="165" spans="1:17" ht="14.4" x14ac:dyDescent="0.3">
      <c r="A165" s="63">
        <v>44439</v>
      </c>
      <c r="B165" s="64">
        <v>14555.90039063</v>
      </c>
      <c r="C165" s="47">
        <f t="shared" si="10"/>
        <v>1.0973822273615985E-2</v>
      </c>
      <c r="D165" s="65">
        <v>409.81002658</v>
      </c>
      <c r="E165" s="47">
        <f t="shared" si="11"/>
        <v>1.6837807099132185E-2</v>
      </c>
      <c r="H165" s="65">
        <v>390.38628434999998</v>
      </c>
      <c r="I165" s="47">
        <f t="shared" si="12"/>
        <v>-1.9645195372289814E-2</v>
      </c>
      <c r="L165" s="65">
        <v>78.506496799999994</v>
      </c>
      <c r="M165" s="47">
        <f t="shared" si="13"/>
        <v>-1.6453460593653157E-2</v>
      </c>
      <c r="P165" s="65">
        <v>1066.1518467000001</v>
      </c>
      <c r="Q165" s="47">
        <f t="shared" si="14"/>
        <v>1.6496886252617138E-3</v>
      </c>
    </row>
    <row r="166" spans="1:17" ht="14.4" x14ac:dyDescent="0.3">
      <c r="A166" s="63">
        <v>44440</v>
      </c>
      <c r="B166" s="64">
        <v>14551.34960938</v>
      </c>
      <c r="C166" s="47">
        <f t="shared" si="10"/>
        <v>-3.1264168672995307E-4</v>
      </c>
      <c r="D166" s="65">
        <v>405.47850545</v>
      </c>
      <c r="E166" s="47">
        <f t="shared" si="11"/>
        <v>-1.0569583097192581E-2</v>
      </c>
      <c r="H166" s="65">
        <v>387.73122149</v>
      </c>
      <c r="I166" s="47">
        <f t="shared" si="12"/>
        <v>-6.8011171663490133E-3</v>
      </c>
      <c r="L166" s="65">
        <v>77.971451729999998</v>
      </c>
      <c r="M166" s="47">
        <f t="shared" si="13"/>
        <v>-6.8152967182201207E-3</v>
      </c>
      <c r="P166" s="65">
        <v>1038.4521792800001</v>
      </c>
      <c r="Q166" s="47">
        <f t="shared" si="14"/>
        <v>-2.5980977761973723E-2</v>
      </c>
    </row>
    <row r="167" spans="1:17" ht="14.4" x14ac:dyDescent="0.3">
      <c r="A167" s="63">
        <v>44441</v>
      </c>
      <c r="B167" s="64">
        <v>14684.34960938</v>
      </c>
      <c r="C167" s="47">
        <f t="shared" si="10"/>
        <v>9.1400456706962618E-3</v>
      </c>
      <c r="D167" s="65">
        <v>406.87422744000003</v>
      </c>
      <c r="E167" s="47">
        <f t="shared" si="11"/>
        <v>3.4421602409011598E-3</v>
      </c>
      <c r="H167" s="65">
        <v>392.75685924999999</v>
      </c>
      <c r="I167" s="47">
        <f t="shared" si="12"/>
        <v>1.296165354104617E-2</v>
      </c>
      <c r="L167" s="65">
        <v>77.728246709999993</v>
      </c>
      <c r="M167" s="47">
        <f t="shared" si="13"/>
        <v>-3.1191546983397878E-3</v>
      </c>
      <c r="P167" s="65">
        <v>1039.0228537800001</v>
      </c>
      <c r="Q167" s="47">
        <f t="shared" si="14"/>
        <v>5.4954336019186201E-4</v>
      </c>
    </row>
    <row r="168" spans="1:17" ht="14.4" x14ac:dyDescent="0.3">
      <c r="A168" s="63">
        <v>44442</v>
      </c>
      <c r="B168" s="64">
        <v>14759.299804689999</v>
      </c>
      <c r="C168" s="47">
        <f t="shared" si="10"/>
        <v>5.1040868205782797E-3</v>
      </c>
      <c r="D168" s="65">
        <v>408.22181179</v>
      </c>
      <c r="E168" s="47">
        <f t="shared" si="11"/>
        <v>3.3120415576055606E-3</v>
      </c>
      <c r="H168" s="65">
        <v>390.71814587</v>
      </c>
      <c r="I168" s="47">
        <f t="shared" si="12"/>
        <v>-5.190777276030456E-3</v>
      </c>
      <c r="L168" s="65">
        <v>76.804063650000003</v>
      </c>
      <c r="M168" s="47">
        <f t="shared" si="13"/>
        <v>-1.1889925466195939E-2</v>
      </c>
      <c r="P168" s="65">
        <v>1056.84546133</v>
      </c>
      <c r="Q168" s="47">
        <f t="shared" si="14"/>
        <v>1.715323920466294E-2</v>
      </c>
    </row>
    <row r="169" spans="1:17" ht="14.4" x14ac:dyDescent="0.3">
      <c r="A169" s="63">
        <v>44445</v>
      </c>
      <c r="B169" s="64">
        <v>14805.84960938</v>
      </c>
      <c r="C169" s="47">
        <f t="shared" si="10"/>
        <v>3.1539304239358579E-3</v>
      </c>
      <c r="D169" s="65">
        <v>412.55333292</v>
      </c>
      <c r="E169" s="47">
        <f t="shared" si="11"/>
        <v>1.0610704780831925E-2</v>
      </c>
      <c r="H169" s="65">
        <v>394.55849617000001</v>
      </c>
      <c r="I169" s="47">
        <f t="shared" si="12"/>
        <v>9.828953020466491E-3</v>
      </c>
      <c r="L169" s="65">
        <v>77.582321699999994</v>
      </c>
      <c r="M169" s="47">
        <f t="shared" si="13"/>
        <v>1.0133032199266756E-2</v>
      </c>
      <c r="P169" s="65">
        <v>1145.0805340700001</v>
      </c>
      <c r="Q169" s="47">
        <f t="shared" si="14"/>
        <v>8.3489096531634388E-2</v>
      </c>
    </row>
    <row r="170" spans="1:17" ht="14.4" x14ac:dyDescent="0.3">
      <c r="A170" s="63">
        <v>44446</v>
      </c>
      <c r="B170" s="64">
        <v>14784.25</v>
      </c>
      <c r="C170" s="47">
        <f t="shared" si="10"/>
        <v>-1.4588564621321742E-3</v>
      </c>
      <c r="D170" s="65">
        <v>412.69770733000001</v>
      </c>
      <c r="E170" s="47">
        <f t="shared" si="11"/>
        <v>3.4995332355736153E-4</v>
      </c>
      <c r="H170" s="65">
        <v>391.95086378000002</v>
      </c>
      <c r="I170" s="47">
        <f t="shared" si="12"/>
        <v>-6.6089880595967543E-3</v>
      </c>
      <c r="L170" s="65">
        <v>77.339117680000001</v>
      </c>
      <c r="M170" s="47">
        <f t="shared" si="13"/>
        <v>-3.1347865682652687E-3</v>
      </c>
      <c r="P170" s="65">
        <v>1177.74067958</v>
      </c>
      <c r="Q170" s="47">
        <f t="shared" si="14"/>
        <v>2.8522138433280997E-2</v>
      </c>
    </row>
    <row r="171" spans="1:17" ht="14.4" x14ac:dyDescent="0.3">
      <c r="A171" s="63">
        <v>44447</v>
      </c>
      <c r="B171" s="64">
        <v>14803.59960938</v>
      </c>
      <c r="C171" s="47">
        <f t="shared" si="10"/>
        <v>1.3087988487749946E-3</v>
      </c>
      <c r="D171" s="65">
        <v>415.53726969000002</v>
      </c>
      <c r="E171" s="47">
        <f t="shared" si="11"/>
        <v>6.880489786025068E-3</v>
      </c>
      <c r="H171" s="65">
        <v>391.57157180000002</v>
      </c>
      <c r="I171" s="47">
        <f t="shared" si="12"/>
        <v>-9.677028807695276E-4</v>
      </c>
      <c r="L171" s="65">
        <v>77.630965700000004</v>
      </c>
      <c r="M171" s="47">
        <f t="shared" si="13"/>
        <v>3.773614553085114E-3</v>
      </c>
      <c r="P171" s="65">
        <v>1187.5738421200001</v>
      </c>
      <c r="Q171" s="47">
        <f t="shared" si="14"/>
        <v>8.3491745767894088E-3</v>
      </c>
    </row>
    <row r="172" spans="1:17" ht="14.4" x14ac:dyDescent="0.3">
      <c r="A172" s="63">
        <v>44448</v>
      </c>
      <c r="B172" s="64">
        <v>14836.450195310001</v>
      </c>
      <c r="C172" s="47">
        <f t="shared" si="10"/>
        <v>2.2190944632942688E-3</v>
      </c>
      <c r="D172" s="65">
        <v>415.44101367000002</v>
      </c>
      <c r="E172" s="47">
        <f t="shared" si="11"/>
        <v>-2.3164232674433016E-4</v>
      </c>
      <c r="H172" s="65">
        <v>392.09308879000002</v>
      </c>
      <c r="I172" s="47">
        <f t="shared" si="12"/>
        <v>1.3318561089679104E-3</v>
      </c>
      <c r="L172" s="65">
        <v>83.711085220000001</v>
      </c>
      <c r="M172" s="47">
        <f t="shared" si="13"/>
        <v>7.8320802339316931E-2</v>
      </c>
      <c r="P172" s="65">
        <v>1162.8153438899999</v>
      </c>
      <c r="Q172" s="47">
        <f t="shared" si="14"/>
        <v>-2.0847965281723058E-2</v>
      </c>
    </row>
    <row r="173" spans="1:17" ht="14.4" x14ac:dyDescent="0.3">
      <c r="A173" s="63">
        <v>44452</v>
      </c>
      <c r="B173" s="64">
        <v>14852.200195310001</v>
      </c>
      <c r="C173" s="47">
        <f t="shared" si="10"/>
        <v>1.0615746888684718E-3</v>
      </c>
      <c r="D173" s="65">
        <v>424.20031194000001</v>
      </c>
      <c r="E173" s="47">
        <f t="shared" si="11"/>
        <v>2.1084336841518114E-2</v>
      </c>
      <c r="H173" s="65">
        <v>393.46803172</v>
      </c>
      <c r="I173" s="47">
        <f t="shared" si="12"/>
        <v>3.5066747395191555E-3</v>
      </c>
      <c r="L173" s="65">
        <v>82.88418317</v>
      </c>
      <c r="M173" s="47">
        <f t="shared" si="13"/>
        <v>-9.8780471884557519E-3</v>
      </c>
      <c r="P173" s="65">
        <v>1162.3324660999999</v>
      </c>
      <c r="Q173" s="47">
        <f t="shared" si="14"/>
        <v>-4.1526609752551291E-4</v>
      </c>
    </row>
    <row r="174" spans="1:17" ht="14.4" x14ac:dyDescent="0.3">
      <c r="A174" s="63">
        <v>44453</v>
      </c>
      <c r="B174" s="64">
        <v>14904.34960938</v>
      </c>
      <c r="C174" s="47">
        <f t="shared" si="10"/>
        <v>3.511224827582593E-3</v>
      </c>
      <c r="D174" s="65">
        <v>419.62815075999998</v>
      </c>
      <c r="E174" s="47">
        <f t="shared" si="11"/>
        <v>-1.0778306972689666E-2</v>
      </c>
      <c r="H174" s="65">
        <v>401.00644094</v>
      </c>
      <c r="I174" s="47">
        <f t="shared" si="12"/>
        <v>1.9158886141389164E-2</v>
      </c>
      <c r="L174" s="65">
        <v>81.424954049999997</v>
      </c>
      <c r="M174" s="47">
        <f t="shared" si="13"/>
        <v>-1.7605640354891872E-2</v>
      </c>
      <c r="P174" s="65">
        <v>1212.4640343799999</v>
      </c>
      <c r="Q174" s="47">
        <f t="shared" si="14"/>
        <v>4.3130145412015874E-2</v>
      </c>
    </row>
    <row r="175" spans="1:17" ht="14.4" x14ac:dyDescent="0.3">
      <c r="A175" s="63">
        <v>44454</v>
      </c>
      <c r="B175" s="64">
        <v>15020.549804689999</v>
      </c>
      <c r="C175" s="47">
        <f t="shared" si="10"/>
        <v>7.7963949018526879E-3</v>
      </c>
      <c r="D175" s="65">
        <v>417.02922845000001</v>
      </c>
      <c r="E175" s="47">
        <f t="shared" si="11"/>
        <v>-6.193393615974041E-3</v>
      </c>
      <c r="H175" s="65">
        <v>404.56230328999999</v>
      </c>
      <c r="I175" s="47">
        <f t="shared" si="12"/>
        <v>8.8673447280913642E-3</v>
      </c>
      <c r="L175" s="65">
        <v>84.829821339999995</v>
      </c>
      <c r="M175" s="47">
        <f t="shared" si="13"/>
        <v>4.181601733430762E-2</v>
      </c>
      <c r="P175" s="65">
        <v>1244.11452596</v>
      </c>
      <c r="Q175" s="47">
        <f t="shared" si="14"/>
        <v>2.6104272524821504E-2</v>
      </c>
    </row>
    <row r="176" spans="1:17" ht="14.4" x14ac:dyDescent="0.3">
      <c r="A176" s="63">
        <v>44455</v>
      </c>
      <c r="B176" s="64">
        <v>15104.90039063</v>
      </c>
      <c r="C176" s="47">
        <f t="shared" si="10"/>
        <v>5.6156789889052483E-3</v>
      </c>
      <c r="D176" s="65">
        <v>411.97578714000002</v>
      </c>
      <c r="E176" s="47">
        <f t="shared" si="11"/>
        <v>-1.2117714935191537E-2</v>
      </c>
      <c r="H176" s="65">
        <v>396.31272159999997</v>
      </c>
      <c r="I176" s="47">
        <f t="shared" si="12"/>
        <v>-2.0391375130387579E-2</v>
      </c>
      <c r="L176" s="65">
        <v>83.030107180000002</v>
      </c>
      <c r="M176" s="47">
        <f t="shared" si="13"/>
        <v>-2.1215583524415216E-2</v>
      </c>
      <c r="P176" s="65">
        <v>1266.63422352</v>
      </c>
      <c r="Q176" s="47">
        <f t="shared" si="14"/>
        <v>1.8100984346776983E-2</v>
      </c>
    </row>
    <row r="177" spans="1:17" ht="14.4" x14ac:dyDescent="0.3">
      <c r="A177" s="63">
        <v>44456</v>
      </c>
      <c r="B177" s="64">
        <v>15027.25</v>
      </c>
      <c r="C177" s="47">
        <f t="shared" si="10"/>
        <v>-5.1407416548188145E-3</v>
      </c>
      <c r="D177" s="65">
        <v>401.19510271000001</v>
      </c>
      <c r="E177" s="47">
        <f t="shared" si="11"/>
        <v>-2.6168247665332989E-2</v>
      </c>
      <c r="H177" s="65">
        <v>386.97265649000002</v>
      </c>
      <c r="I177" s="47">
        <f t="shared" si="12"/>
        <v>-2.3567411796149518E-2</v>
      </c>
      <c r="L177" s="65">
        <v>80.743983979999996</v>
      </c>
      <c r="M177" s="47">
        <f t="shared" si="13"/>
        <v>-2.7533665529829388E-2</v>
      </c>
      <c r="P177" s="65">
        <v>1308.8641435</v>
      </c>
      <c r="Q177" s="47">
        <f t="shared" si="14"/>
        <v>3.3340264455070656E-2</v>
      </c>
    </row>
    <row r="178" spans="1:17" ht="14.4" x14ac:dyDescent="0.3">
      <c r="A178" s="63">
        <v>44459</v>
      </c>
      <c r="B178" s="64">
        <v>14826.75</v>
      </c>
      <c r="C178" s="47">
        <f t="shared" si="10"/>
        <v>-1.3342427922607314E-2</v>
      </c>
      <c r="D178" s="65">
        <v>422.03455137999998</v>
      </c>
      <c r="E178" s="47">
        <f t="shared" si="11"/>
        <v>5.1943427348024152E-2</v>
      </c>
      <c r="H178" s="65">
        <v>377.53774941</v>
      </c>
      <c r="I178" s="47">
        <f t="shared" si="12"/>
        <v>-2.4381327522152274E-2</v>
      </c>
      <c r="L178" s="65">
        <v>78.260301339999998</v>
      </c>
      <c r="M178" s="47">
        <f t="shared" si="13"/>
        <v>-3.0759971425427746E-2</v>
      </c>
      <c r="P178" s="65">
        <v>1333.57874337</v>
      </c>
      <c r="Q178" s="47">
        <f t="shared" si="14"/>
        <v>1.8882479127215968E-2</v>
      </c>
    </row>
    <row r="179" spans="1:17" ht="14.4" x14ac:dyDescent="0.3">
      <c r="A179" s="63">
        <v>44460</v>
      </c>
      <c r="B179" s="64">
        <v>14946.299804689999</v>
      </c>
      <c r="C179" s="47">
        <f t="shared" si="10"/>
        <v>8.0631159687725162E-3</v>
      </c>
      <c r="D179" s="65">
        <v>437.82053948999999</v>
      </c>
      <c r="E179" s="47">
        <f t="shared" si="11"/>
        <v>3.7404492258706901E-2</v>
      </c>
      <c r="H179" s="65">
        <v>373.88706406</v>
      </c>
      <c r="I179" s="47">
        <f t="shared" si="12"/>
        <v>-9.6697227117159557E-3</v>
      </c>
      <c r="L179" s="65">
        <v>78.50379873</v>
      </c>
      <c r="M179" s="47">
        <f t="shared" si="13"/>
        <v>3.1113781295337706E-3</v>
      </c>
      <c r="P179" s="65">
        <v>1333.7104374099999</v>
      </c>
      <c r="Q179" s="47">
        <f t="shared" si="14"/>
        <v>9.875235388578929E-5</v>
      </c>
    </row>
    <row r="180" spans="1:17" ht="14.4" x14ac:dyDescent="0.3">
      <c r="A180" s="63">
        <v>44461</v>
      </c>
      <c r="B180" s="64">
        <v>14990.549804689999</v>
      </c>
      <c r="C180" s="47">
        <f t="shared" si="10"/>
        <v>2.9605989829077917E-3</v>
      </c>
      <c r="D180" s="65">
        <v>425.16287218999997</v>
      </c>
      <c r="E180" s="47">
        <f t="shared" si="11"/>
        <v>-2.891062926089405E-2</v>
      </c>
      <c r="H180" s="65">
        <v>376.49469646</v>
      </c>
      <c r="I180" s="47">
        <f t="shared" si="12"/>
        <v>6.9743851838146576E-3</v>
      </c>
      <c r="L180" s="65">
        <v>80.15959178</v>
      </c>
      <c r="M180" s="47">
        <f t="shared" si="13"/>
        <v>2.1091884428354968E-2</v>
      </c>
      <c r="P180" s="65">
        <v>1328.7499582999999</v>
      </c>
      <c r="Q180" s="47">
        <f t="shared" si="14"/>
        <v>-3.7193074080106303E-3</v>
      </c>
    </row>
    <row r="181" spans="1:17" ht="14.4" x14ac:dyDescent="0.3">
      <c r="A181" s="63">
        <v>44462</v>
      </c>
      <c r="B181" s="64">
        <v>15205.450195310001</v>
      </c>
      <c r="C181" s="47">
        <f t="shared" si="10"/>
        <v>1.4335724401033367E-2</v>
      </c>
      <c r="D181" s="65">
        <v>436.56919190999997</v>
      </c>
      <c r="E181" s="47">
        <f t="shared" si="11"/>
        <v>2.6828118036851256E-2</v>
      </c>
      <c r="H181" s="65">
        <v>381.80478424</v>
      </c>
      <c r="I181" s="47">
        <f t="shared" si="12"/>
        <v>1.4104017480002229E-2</v>
      </c>
      <c r="L181" s="65">
        <v>81.036179009999998</v>
      </c>
      <c r="M181" s="47">
        <f t="shared" si="13"/>
        <v>1.0935525125998824E-2</v>
      </c>
      <c r="P181" s="65">
        <v>1344.8605413299999</v>
      </c>
      <c r="Q181" s="47">
        <f t="shared" si="14"/>
        <v>1.2124616019263623E-2</v>
      </c>
    </row>
    <row r="182" spans="1:17" ht="14.4" x14ac:dyDescent="0.3">
      <c r="A182" s="63">
        <v>44463</v>
      </c>
      <c r="B182" s="64">
        <v>15191.950195310001</v>
      </c>
      <c r="C182" s="47">
        <f t="shared" si="10"/>
        <v>-8.8783954612303706E-4</v>
      </c>
      <c r="D182" s="65">
        <v>435.79915333000002</v>
      </c>
      <c r="E182" s="47">
        <f t="shared" si="11"/>
        <v>-1.7638408625011426E-3</v>
      </c>
      <c r="H182" s="65">
        <v>378.67564433000001</v>
      </c>
      <c r="I182" s="47">
        <f t="shared" si="12"/>
        <v>-8.1956540073971906E-3</v>
      </c>
      <c r="L182" s="65">
        <v>79.380394940000002</v>
      </c>
      <c r="M182" s="47">
        <f t="shared" si="13"/>
        <v>-2.0432652307010524E-2</v>
      </c>
      <c r="P182" s="65">
        <v>1292.05119193</v>
      </c>
      <c r="Q182" s="47">
        <f t="shared" si="14"/>
        <v>-3.9267528325111045E-2</v>
      </c>
    </row>
    <row r="183" spans="1:17" ht="14.4" x14ac:dyDescent="0.3">
      <c r="A183" s="63">
        <v>44466</v>
      </c>
      <c r="B183" s="64">
        <v>15189.049804689999</v>
      </c>
      <c r="C183" s="47">
        <f t="shared" si="10"/>
        <v>-1.909162801821962E-4</v>
      </c>
      <c r="D183" s="65">
        <v>425.54789628999998</v>
      </c>
      <c r="E183" s="47">
        <f t="shared" si="11"/>
        <v>-2.3522893428472247E-2</v>
      </c>
      <c r="H183" s="65">
        <v>375.92577743999999</v>
      </c>
      <c r="I183" s="47">
        <f t="shared" si="12"/>
        <v>-7.2618002535268511E-3</v>
      </c>
      <c r="L183" s="65">
        <v>78.601197089999999</v>
      </c>
      <c r="M183" s="47">
        <f t="shared" si="13"/>
        <v>-9.8159986554483547E-3</v>
      </c>
      <c r="P183" s="65">
        <v>1240.6026822599999</v>
      </c>
      <c r="Q183" s="47">
        <f t="shared" si="14"/>
        <v>-3.9819250190194722E-2</v>
      </c>
    </row>
    <row r="184" spans="1:17" ht="14.4" x14ac:dyDescent="0.3">
      <c r="A184" s="63">
        <v>44467</v>
      </c>
      <c r="B184" s="64">
        <v>15095.59960938</v>
      </c>
      <c r="C184" s="47">
        <f t="shared" si="10"/>
        <v>-6.1524714522395163E-3</v>
      </c>
      <c r="D184" s="65">
        <v>428.19493698000002</v>
      </c>
      <c r="E184" s="47">
        <f t="shared" si="11"/>
        <v>6.2203120097112929E-3</v>
      </c>
      <c r="H184" s="65">
        <v>375.16717451</v>
      </c>
      <c r="I184" s="47">
        <f t="shared" si="12"/>
        <v>-2.0179593300729826E-3</v>
      </c>
      <c r="L184" s="65">
        <v>80.256990139999999</v>
      </c>
      <c r="M184" s="47">
        <f t="shared" si="13"/>
        <v>2.1065748503856563E-2</v>
      </c>
      <c r="P184" s="65">
        <v>1204.12340561</v>
      </c>
      <c r="Q184" s="47">
        <f t="shared" si="14"/>
        <v>-2.9404479912574333E-2</v>
      </c>
    </row>
    <row r="185" spans="1:17" ht="14.4" x14ac:dyDescent="0.3">
      <c r="A185" s="63">
        <v>44468</v>
      </c>
      <c r="B185" s="64">
        <v>15086.950195310001</v>
      </c>
      <c r="C185" s="47">
        <f t="shared" si="10"/>
        <v>-5.7297585348148328E-4</v>
      </c>
      <c r="D185" s="65">
        <v>424.44095200999999</v>
      </c>
      <c r="E185" s="47">
        <f t="shared" si="11"/>
        <v>-8.7669999007377042E-3</v>
      </c>
      <c r="H185" s="65">
        <v>383.41679413000003</v>
      </c>
      <c r="I185" s="47">
        <f t="shared" si="12"/>
        <v>2.1989182904327276E-2</v>
      </c>
      <c r="L185" s="65">
        <v>79.429096610000002</v>
      </c>
      <c r="M185" s="47">
        <f t="shared" si="13"/>
        <v>-1.0315531750640372E-2</v>
      </c>
      <c r="P185" s="65">
        <v>1179.7160921699999</v>
      </c>
      <c r="Q185" s="47">
        <f t="shared" si="14"/>
        <v>-2.0269777438331138E-2</v>
      </c>
    </row>
    <row r="186" spans="1:17" ht="14.4" x14ac:dyDescent="0.3">
      <c r="A186" s="63">
        <v>44469</v>
      </c>
      <c r="B186" s="64">
        <v>15052.65039063</v>
      </c>
      <c r="C186" s="47">
        <f t="shared" si="10"/>
        <v>-2.2734750387565228E-3</v>
      </c>
      <c r="D186" s="65">
        <v>426.51045654000001</v>
      </c>
      <c r="E186" s="47">
        <f t="shared" si="11"/>
        <v>4.8758361326812771E-3</v>
      </c>
      <c r="H186" s="65">
        <v>383.27455964000001</v>
      </c>
      <c r="I186" s="47">
        <f t="shared" si="12"/>
        <v>-3.7096572757788771E-4</v>
      </c>
      <c r="L186" s="65">
        <v>79.185599210000007</v>
      </c>
      <c r="M186" s="47">
        <f t="shared" si="13"/>
        <v>-3.065594478501743E-3</v>
      </c>
      <c r="P186" s="65">
        <v>1146.3096787500001</v>
      </c>
      <c r="Q186" s="47">
        <f t="shared" si="14"/>
        <v>-2.8317332993696098E-2</v>
      </c>
    </row>
    <row r="187" spans="1:17" ht="14.4" x14ac:dyDescent="0.3">
      <c r="A187" s="63">
        <v>44470</v>
      </c>
      <c r="B187" s="64">
        <v>15013.950195310001</v>
      </c>
      <c r="C187" s="47">
        <f t="shared" si="10"/>
        <v>-2.5709887837486178E-3</v>
      </c>
      <c r="D187" s="65">
        <v>424.29654871999998</v>
      </c>
      <c r="E187" s="47">
        <f t="shared" si="11"/>
        <v>-5.1907468763134901E-3</v>
      </c>
      <c r="H187" s="65">
        <v>383.89090911</v>
      </c>
      <c r="I187" s="47">
        <f t="shared" si="12"/>
        <v>1.6081147430679898E-3</v>
      </c>
      <c r="L187" s="65">
        <v>79.867390720000003</v>
      </c>
      <c r="M187" s="47">
        <f t="shared" si="13"/>
        <v>8.6100442100827124E-3</v>
      </c>
      <c r="P187" s="65">
        <v>1147.40713041</v>
      </c>
      <c r="Q187" s="47">
        <f t="shared" si="14"/>
        <v>9.5737799335049445E-4</v>
      </c>
    </row>
    <row r="188" spans="1:17" ht="14.4" x14ac:dyDescent="0.3">
      <c r="A188" s="63">
        <v>44473</v>
      </c>
      <c r="B188" s="64">
        <v>15181.15039063</v>
      </c>
      <c r="C188" s="47">
        <f t="shared" si="10"/>
        <v>1.1136322762828277E-2</v>
      </c>
      <c r="D188" s="65">
        <v>422.46768423999998</v>
      </c>
      <c r="E188" s="47">
        <f t="shared" si="11"/>
        <v>-4.3103449356758361E-3</v>
      </c>
      <c r="H188" s="65">
        <v>387.49416400000001</v>
      </c>
      <c r="I188" s="47">
        <f t="shared" si="12"/>
        <v>9.3861427934140984E-3</v>
      </c>
      <c r="L188" s="65">
        <v>79.721289690000006</v>
      </c>
      <c r="M188" s="47">
        <f t="shared" si="13"/>
        <v>-1.8292951438991789E-3</v>
      </c>
      <c r="P188" s="65">
        <v>1159.65468498</v>
      </c>
      <c r="Q188" s="47">
        <f t="shared" si="14"/>
        <v>1.0674114048448979E-2</v>
      </c>
    </row>
    <row r="189" spans="1:17" ht="14.4" x14ac:dyDescent="0.3">
      <c r="A189" s="63">
        <v>44474</v>
      </c>
      <c r="B189" s="64">
        <v>15280.09960938</v>
      </c>
      <c r="C189" s="47">
        <f t="shared" si="10"/>
        <v>6.5178999090260703E-3</v>
      </c>
      <c r="D189" s="65">
        <v>438.8312085</v>
      </c>
      <c r="E189" s="47">
        <f t="shared" si="11"/>
        <v>3.8733197521219287E-2</v>
      </c>
      <c r="H189" s="65">
        <v>387.44677146999999</v>
      </c>
      <c r="I189" s="47">
        <f t="shared" si="12"/>
        <v>-1.2230514522026947E-4</v>
      </c>
      <c r="L189" s="65">
        <v>79.964788080000005</v>
      </c>
      <c r="M189" s="47">
        <f t="shared" si="13"/>
        <v>3.0543709333712421E-3</v>
      </c>
      <c r="P189" s="65">
        <v>1127.0384368</v>
      </c>
      <c r="Q189" s="47">
        <f t="shared" si="14"/>
        <v>-2.8125827974870399E-2</v>
      </c>
    </row>
    <row r="190" spans="1:17" ht="14.4" x14ac:dyDescent="0.3">
      <c r="A190" s="63">
        <v>44475</v>
      </c>
      <c r="B190" s="64">
        <v>15134.549804689999</v>
      </c>
      <c r="C190" s="47">
        <f t="shared" si="10"/>
        <v>-9.5254486823274087E-3</v>
      </c>
      <c r="D190" s="65">
        <v>432.71895090999999</v>
      </c>
      <c r="E190" s="47">
        <f t="shared" si="11"/>
        <v>-1.3928493397023289E-2</v>
      </c>
      <c r="H190" s="65">
        <v>385.69253656000001</v>
      </c>
      <c r="I190" s="47">
        <f t="shared" si="12"/>
        <v>-4.5276797722285655E-3</v>
      </c>
      <c r="L190" s="65">
        <v>83.519862610000004</v>
      </c>
      <c r="M190" s="47">
        <f t="shared" si="13"/>
        <v>4.4457999769140333E-2</v>
      </c>
      <c r="P190" s="65">
        <v>1108.2061753099999</v>
      </c>
      <c r="Q190" s="47">
        <f t="shared" si="14"/>
        <v>-1.6709511295347257E-2</v>
      </c>
    </row>
    <row r="191" spans="1:17" ht="14.4" x14ac:dyDescent="0.3">
      <c r="A191" s="63">
        <v>44476</v>
      </c>
      <c r="B191" s="64">
        <v>15290.15039063</v>
      </c>
      <c r="C191" s="47">
        <f t="shared" si="10"/>
        <v>1.0281150608905554E-2</v>
      </c>
      <c r="D191" s="65">
        <v>436.71359519999999</v>
      </c>
      <c r="E191" s="47">
        <f t="shared" si="11"/>
        <v>9.2314983700143571E-3</v>
      </c>
      <c r="H191" s="65">
        <v>386.92522602000003</v>
      </c>
      <c r="I191" s="47">
        <f t="shared" si="12"/>
        <v>3.1960417772001204E-3</v>
      </c>
      <c r="L191" s="65">
        <v>82.302372640000002</v>
      </c>
      <c r="M191" s="47">
        <f t="shared" si="13"/>
        <v>-1.4577250631806371E-2</v>
      </c>
      <c r="P191" s="65">
        <v>1099.9094438699999</v>
      </c>
      <c r="Q191" s="47">
        <f t="shared" si="14"/>
        <v>-7.4866316619099926E-3</v>
      </c>
    </row>
    <row r="192" spans="1:17" ht="14.4" x14ac:dyDescent="0.3">
      <c r="A192" s="63">
        <v>44477</v>
      </c>
      <c r="B192" s="64">
        <v>15365.200195310001</v>
      </c>
      <c r="C192" s="47">
        <f t="shared" si="10"/>
        <v>4.90837583428827E-3</v>
      </c>
      <c r="D192" s="65">
        <v>446.19479440999999</v>
      </c>
      <c r="E192" s="47">
        <f t="shared" si="11"/>
        <v>2.1710336738332892E-2</v>
      </c>
      <c r="H192" s="65">
        <v>385.45547907000002</v>
      </c>
      <c r="I192" s="47">
        <f t="shared" si="12"/>
        <v>-3.7985296671353419E-3</v>
      </c>
      <c r="L192" s="65">
        <v>82.594572709999994</v>
      </c>
      <c r="M192" s="47">
        <f t="shared" si="13"/>
        <v>3.5503237710790003E-3</v>
      </c>
      <c r="P192" s="65">
        <v>1081.2966721099999</v>
      </c>
      <c r="Q192" s="47">
        <f t="shared" si="14"/>
        <v>-1.6922094690369649E-2</v>
      </c>
    </row>
    <row r="193" spans="1:17" ht="14.4" x14ac:dyDescent="0.3">
      <c r="A193" s="63">
        <v>44480</v>
      </c>
      <c r="B193" s="64">
        <v>15428</v>
      </c>
      <c r="C193" s="47">
        <f t="shared" si="10"/>
        <v>4.0871452302435607E-3</v>
      </c>
      <c r="D193" s="65">
        <v>456.73483878000002</v>
      </c>
      <c r="E193" s="47">
        <f t="shared" si="11"/>
        <v>2.3622069333948836E-2</v>
      </c>
      <c r="H193" s="65">
        <v>393.46803172</v>
      </c>
      <c r="I193" s="47">
        <f t="shared" si="12"/>
        <v>2.0787232469316796E-2</v>
      </c>
      <c r="L193" s="65">
        <v>82.010171580000005</v>
      </c>
      <c r="M193" s="47">
        <f t="shared" si="13"/>
        <v>-7.0755391162552472E-3</v>
      </c>
      <c r="P193" s="65">
        <v>1087.2668071999999</v>
      </c>
      <c r="Q193" s="47">
        <f t="shared" si="14"/>
        <v>5.5212738964136587E-3</v>
      </c>
    </row>
    <row r="194" spans="1:17" ht="14.4" x14ac:dyDescent="0.3">
      <c r="A194" s="63">
        <v>44481</v>
      </c>
      <c r="B194" s="64">
        <v>15481.90039063</v>
      </c>
      <c r="C194" s="47">
        <f t="shared" si="10"/>
        <v>3.4936732324346575E-3</v>
      </c>
      <c r="D194" s="65">
        <v>442.87398080000003</v>
      </c>
      <c r="E194" s="47">
        <f t="shared" si="11"/>
        <v>-3.0347713384475283E-2</v>
      </c>
      <c r="H194" s="65">
        <v>397.49800905000001</v>
      </c>
      <c r="I194" s="47">
        <f t="shared" si="12"/>
        <v>1.0242197599595215E-2</v>
      </c>
      <c r="L194" s="65">
        <v>81.96147689</v>
      </c>
      <c r="M194" s="47">
        <f t="shared" si="13"/>
        <v>-5.9376403026423219E-4</v>
      </c>
      <c r="P194" s="65">
        <v>1082.8331042299999</v>
      </c>
      <c r="Q194" s="47">
        <f t="shared" si="14"/>
        <v>-4.0778426607338547E-3</v>
      </c>
    </row>
    <row r="195" spans="1:17" ht="14.4" x14ac:dyDescent="0.3">
      <c r="A195" s="63">
        <v>44482</v>
      </c>
      <c r="B195" s="64">
        <v>15631.40039063</v>
      </c>
      <c r="C195" s="47">
        <f t="shared" si="10"/>
        <v>9.6564372737135695E-3</v>
      </c>
      <c r="D195" s="65">
        <v>446.82047783000002</v>
      </c>
      <c r="E195" s="47">
        <f t="shared" si="11"/>
        <v>8.9111060958495525E-3</v>
      </c>
      <c r="H195" s="65">
        <v>411.10509001999998</v>
      </c>
      <c r="I195" s="47">
        <f t="shared" si="12"/>
        <v>3.4231821695208442E-2</v>
      </c>
      <c r="L195" s="65">
        <v>81.182279050000005</v>
      </c>
      <c r="M195" s="47">
        <f t="shared" si="13"/>
        <v>-9.5068789578517388E-3</v>
      </c>
      <c r="P195" s="65">
        <v>1081.34057046</v>
      </c>
      <c r="Q195" s="47">
        <f t="shared" si="14"/>
        <v>-1.3783599376204769E-3</v>
      </c>
    </row>
    <row r="196" spans="1:17" ht="14.4" x14ac:dyDescent="0.3">
      <c r="A196" s="63">
        <v>44483</v>
      </c>
      <c r="B196" s="64">
        <v>15769.25</v>
      </c>
      <c r="C196" s="47">
        <f t="shared" ref="C196:C259" si="15">B196/B195-1</f>
        <v>8.8187626140414643E-3</v>
      </c>
      <c r="D196" s="65">
        <v>442.48895670000002</v>
      </c>
      <c r="E196" s="47">
        <f t="shared" ref="E196:E259" si="16">D196/D195-1</f>
        <v>-9.6940971708283641E-3</v>
      </c>
      <c r="H196" s="65">
        <v>420.49258559999998</v>
      </c>
      <c r="I196" s="47">
        <f t="shared" ref="I196:I259" si="17">H196/H195-1</f>
        <v>2.2834783143996784E-2</v>
      </c>
      <c r="L196" s="65">
        <v>79.429096610000002</v>
      </c>
      <c r="M196" s="47">
        <f t="shared" ref="M196:M259" si="18">L196/L195-1</f>
        <v>-2.1595629742301559E-2</v>
      </c>
      <c r="P196" s="65">
        <v>1119.35627821</v>
      </c>
      <c r="Q196" s="47">
        <f t="shared" ref="Q196:Q259" si="19">P196/P195-1</f>
        <v>3.5156091233891518E-2</v>
      </c>
    </row>
    <row r="197" spans="1:17" ht="14.4" x14ac:dyDescent="0.3">
      <c r="A197" s="63">
        <v>44487</v>
      </c>
      <c r="B197" s="64">
        <v>15886.15039063</v>
      </c>
      <c r="C197" s="47">
        <f t="shared" si="15"/>
        <v>7.4131864628945721E-3</v>
      </c>
      <c r="D197" s="65">
        <v>443.83654104999999</v>
      </c>
      <c r="E197" s="47">
        <f t="shared" si="16"/>
        <v>3.0454643660489111E-3</v>
      </c>
      <c r="H197" s="65">
        <v>419.07024066000002</v>
      </c>
      <c r="I197" s="47">
        <f t="shared" si="17"/>
        <v>-3.3825684178721005E-3</v>
      </c>
      <c r="L197" s="65">
        <v>78.211606639999999</v>
      </c>
      <c r="M197" s="47">
        <f t="shared" si="18"/>
        <v>-1.5328009784348007E-2</v>
      </c>
      <c r="P197" s="65">
        <v>1134.2816138999999</v>
      </c>
      <c r="Q197" s="47">
        <f t="shared" si="19"/>
        <v>1.3333856235538732E-2</v>
      </c>
    </row>
    <row r="198" spans="1:17" ht="14.4" x14ac:dyDescent="0.3">
      <c r="A198" s="63">
        <v>44488</v>
      </c>
      <c r="B198" s="64">
        <v>15757.84960938</v>
      </c>
      <c r="C198" s="47">
        <f t="shared" si="15"/>
        <v>-8.0762663134344992E-3</v>
      </c>
      <c r="D198" s="65">
        <v>442.72959675999999</v>
      </c>
      <c r="E198" s="47">
        <f t="shared" si="16"/>
        <v>-2.4940359515718269E-3</v>
      </c>
      <c r="H198" s="65">
        <v>403.28219285</v>
      </c>
      <c r="I198" s="47">
        <f t="shared" si="17"/>
        <v>-3.7673989413171349E-2</v>
      </c>
      <c r="L198" s="65">
        <v>76.458417229999995</v>
      </c>
      <c r="M198" s="47">
        <f t="shared" si="18"/>
        <v>-2.2415974882983192E-2</v>
      </c>
      <c r="P198" s="65">
        <v>1118.3027259200001</v>
      </c>
      <c r="Q198" s="47">
        <f t="shared" si="19"/>
        <v>-1.4087231763423969E-2</v>
      </c>
    </row>
    <row r="199" spans="1:17" ht="14.4" x14ac:dyDescent="0.3">
      <c r="A199" s="63">
        <v>44489</v>
      </c>
      <c r="B199" s="64">
        <v>15568.65039063</v>
      </c>
      <c r="C199" s="47">
        <f t="shared" si="15"/>
        <v>-1.2006664833085989E-2</v>
      </c>
      <c r="D199" s="65">
        <v>444.89535733000002</v>
      </c>
      <c r="E199" s="47">
        <f t="shared" si="16"/>
        <v>4.8918359780993903E-3</v>
      </c>
      <c r="H199" s="65">
        <v>395.55411866999998</v>
      </c>
      <c r="I199" s="47">
        <f t="shared" si="17"/>
        <v>-1.9162944253465874E-2</v>
      </c>
      <c r="L199" s="65">
        <v>74.948725199999998</v>
      </c>
      <c r="M199" s="47">
        <f t="shared" si="18"/>
        <v>-1.9745269189376247E-2</v>
      </c>
      <c r="P199" s="65">
        <v>1043.1492703199999</v>
      </c>
      <c r="Q199" s="47">
        <f t="shared" si="19"/>
        <v>-6.7203140847370557E-2</v>
      </c>
    </row>
    <row r="200" spans="1:17" ht="14.4" x14ac:dyDescent="0.3">
      <c r="A200" s="63">
        <v>44490</v>
      </c>
      <c r="B200" s="64">
        <v>15487.65039063</v>
      </c>
      <c r="C200" s="47">
        <f t="shared" si="15"/>
        <v>-5.2027631148265918E-3</v>
      </c>
      <c r="D200" s="65">
        <v>447.20550193000003</v>
      </c>
      <c r="E200" s="47">
        <f t="shared" si="16"/>
        <v>5.1925572203408432E-3</v>
      </c>
      <c r="H200" s="65">
        <v>401.05387139999999</v>
      </c>
      <c r="I200" s="47">
        <f t="shared" si="17"/>
        <v>1.3903919768279094E-2</v>
      </c>
      <c r="L200" s="65">
        <v>74.705226809999999</v>
      </c>
      <c r="M200" s="47">
        <f t="shared" si="18"/>
        <v>-3.2488663329526268E-3</v>
      </c>
      <c r="P200" s="65">
        <v>1022.51718863</v>
      </c>
      <c r="Q200" s="47">
        <f t="shared" si="19"/>
        <v>-1.9778647483184031E-2</v>
      </c>
    </row>
    <row r="201" spans="1:17" ht="14.4" x14ac:dyDescent="0.3">
      <c r="A201" s="63">
        <v>44491</v>
      </c>
      <c r="B201" s="64">
        <v>15399.700195310001</v>
      </c>
      <c r="C201" s="47">
        <f t="shared" si="15"/>
        <v>-5.6787306726144848E-3</v>
      </c>
      <c r="D201" s="65">
        <v>473.38712148000002</v>
      </c>
      <c r="E201" s="47">
        <f t="shared" si="16"/>
        <v>5.8544940607859752E-2</v>
      </c>
      <c r="H201" s="65">
        <v>405.65276775000001</v>
      </c>
      <c r="I201" s="47">
        <f t="shared" si="17"/>
        <v>1.1467028940391977E-2</v>
      </c>
      <c r="L201" s="65">
        <v>75.533126330000002</v>
      </c>
      <c r="M201" s="47">
        <f t="shared" si="18"/>
        <v>1.1082216805333056E-2</v>
      </c>
      <c r="P201" s="65">
        <v>1017.42501548</v>
      </c>
      <c r="Q201" s="47">
        <f t="shared" si="19"/>
        <v>-4.9800367237079479E-3</v>
      </c>
    </row>
    <row r="202" spans="1:17" ht="14.4" x14ac:dyDescent="0.3">
      <c r="A202" s="63">
        <v>44494</v>
      </c>
      <c r="B202" s="64">
        <v>15334.34960938</v>
      </c>
      <c r="C202" s="47">
        <f t="shared" si="15"/>
        <v>-4.2436271551509197E-3</v>
      </c>
      <c r="D202" s="65">
        <v>506.64356851000002</v>
      </c>
      <c r="E202" s="47">
        <f t="shared" si="16"/>
        <v>7.0252116124382313E-2</v>
      </c>
      <c r="H202" s="65">
        <v>401.48055591999997</v>
      </c>
      <c r="I202" s="47">
        <f t="shared" si="17"/>
        <v>-1.0285180237131653E-2</v>
      </c>
      <c r="L202" s="65">
        <v>73.731234240000006</v>
      </c>
      <c r="M202" s="47">
        <f t="shared" si="18"/>
        <v>-2.3855653506616781E-2</v>
      </c>
      <c r="P202" s="65">
        <v>1014.7033370299999</v>
      </c>
      <c r="Q202" s="47">
        <f t="shared" si="19"/>
        <v>-2.6750653940978975E-3</v>
      </c>
    </row>
    <row r="203" spans="1:17" ht="14.4" x14ac:dyDescent="0.3">
      <c r="A203" s="63">
        <v>44495</v>
      </c>
      <c r="B203" s="64">
        <v>15499.65039063</v>
      </c>
      <c r="C203" s="47">
        <f t="shared" si="15"/>
        <v>1.0779771262609428E-2</v>
      </c>
      <c r="D203" s="65">
        <v>503.22648923999998</v>
      </c>
      <c r="E203" s="47">
        <f t="shared" si="16"/>
        <v>-6.744542874686843E-3</v>
      </c>
      <c r="H203" s="65">
        <v>414.85060785000002</v>
      </c>
      <c r="I203" s="47">
        <f t="shared" si="17"/>
        <v>3.3301866635514488E-2</v>
      </c>
      <c r="L203" s="65">
        <v>74.656532119999994</v>
      </c>
      <c r="M203" s="47">
        <f t="shared" si="18"/>
        <v>1.2549605191581215E-2</v>
      </c>
      <c r="P203" s="65">
        <v>1007.67964965</v>
      </c>
      <c r="Q203" s="47">
        <f t="shared" si="19"/>
        <v>-6.9219121724365396E-3</v>
      </c>
    </row>
    <row r="204" spans="1:17" ht="14.4" x14ac:dyDescent="0.3">
      <c r="A204" s="63">
        <v>44496</v>
      </c>
      <c r="B204" s="64">
        <v>15484.34960938</v>
      </c>
      <c r="C204" s="47">
        <f t="shared" si="15"/>
        <v>-9.8716944346366464E-4</v>
      </c>
      <c r="D204" s="65">
        <v>498.60620967</v>
      </c>
      <c r="E204" s="47">
        <f t="shared" si="16"/>
        <v>-9.1813123291220045E-3</v>
      </c>
      <c r="H204" s="65">
        <v>414.75577536999998</v>
      </c>
      <c r="I204" s="47">
        <f t="shared" si="17"/>
        <v>-2.285942896202986E-4</v>
      </c>
      <c r="L204" s="65">
        <v>75.533126330000002</v>
      </c>
      <c r="M204" s="47">
        <f t="shared" si="18"/>
        <v>1.1741694733302221E-2</v>
      </c>
      <c r="P204" s="65">
        <v>991.83245468999996</v>
      </c>
      <c r="Q204" s="47">
        <f t="shared" si="19"/>
        <v>-1.5726421552230696E-2</v>
      </c>
    </row>
    <row r="205" spans="1:17" ht="14.4" x14ac:dyDescent="0.3">
      <c r="A205" s="63">
        <v>44497</v>
      </c>
      <c r="B205" s="64">
        <v>15190.84960938</v>
      </c>
      <c r="C205" s="47">
        <f t="shared" si="15"/>
        <v>-1.895462240288126E-2</v>
      </c>
      <c r="D205" s="65">
        <v>459.04497375</v>
      </c>
      <c r="E205" s="47">
        <f t="shared" si="16"/>
        <v>-7.934364866049981E-2</v>
      </c>
      <c r="H205" s="65">
        <v>405.98464824000001</v>
      </c>
      <c r="I205" s="47">
        <f t="shared" si="17"/>
        <v>-2.1147691366504406E-2</v>
      </c>
      <c r="L205" s="65">
        <v>72.513744279999997</v>
      </c>
      <c r="M205" s="47">
        <f t="shared" si="18"/>
        <v>-3.9974276144859822E-2</v>
      </c>
      <c r="P205" s="65">
        <v>987.17926199999999</v>
      </c>
      <c r="Q205" s="47">
        <f t="shared" si="19"/>
        <v>-4.6915108171715625E-3</v>
      </c>
    </row>
    <row r="206" spans="1:17" ht="14.4" x14ac:dyDescent="0.3">
      <c r="A206" s="63">
        <v>44498</v>
      </c>
      <c r="B206" s="64">
        <v>15086.90039063</v>
      </c>
      <c r="C206" s="47">
        <f t="shared" si="15"/>
        <v>-6.8428838032741357E-3</v>
      </c>
      <c r="D206" s="65">
        <v>459.76689393999999</v>
      </c>
      <c r="E206" s="47">
        <f t="shared" si="16"/>
        <v>1.5726567793619139E-3</v>
      </c>
      <c r="H206" s="65">
        <v>398.49364102999999</v>
      </c>
      <c r="I206" s="47">
        <f t="shared" si="17"/>
        <v>-1.8451454365268738E-2</v>
      </c>
      <c r="L206" s="65">
        <v>73.098145400000007</v>
      </c>
      <c r="M206" s="47">
        <f t="shared" si="18"/>
        <v>8.0591772746341217E-3</v>
      </c>
      <c r="P206" s="65">
        <v>970.76139253999997</v>
      </c>
      <c r="Q206" s="47">
        <f t="shared" si="19"/>
        <v>-1.6631092337513032E-2</v>
      </c>
    </row>
    <row r="207" spans="1:17" ht="14.4" x14ac:dyDescent="0.3">
      <c r="A207" s="63">
        <v>44501</v>
      </c>
      <c r="B207" s="64">
        <v>15302.700195310001</v>
      </c>
      <c r="C207" s="47">
        <f t="shared" si="15"/>
        <v>1.430378666873322E-2</v>
      </c>
      <c r="D207" s="65">
        <v>451.05574293000001</v>
      </c>
      <c r="E207" s="47">
        <f t="shared" si="16"/>
        <v>-1.8946886182581002E-2</v>
      </c>
      <c r="H207" s="65">
        <v>388.53722643999998</v>
      </c>
      <c r="I207" s="47">
        <f t="shared" si="17"/>
        <v>-2.4985127903836335E-2</v>
      </c>
      <c r="L207" s="65">
        <v>73.390338490000005</v>
      </c>
      <c r="M207" s="47">
        <f t="shared" si="18"/>
        <v>3.9972709075051238E-3</v>
      </c>
      <c r="P207" s="65">
        <v>960.97212835000005</v>
      </c>
      <c r="Q207" s="47">
        <f t="shared" si="19"/>
        <v>-1.0084109509532757E-2</v>
      </c>
    </row>
    <row r="208" spans="1:17" ht="14.4" x14ac:dyDescent="0.3">
      <c r="A208" s="63">
        <v>44502</v>
      </c>
      <c r="B208" s="64">
        <v>15314.65039063</v>
      </c>
      <c r="C208" s="47">
        <f t="shared" si="15"/>
        <v>7.8092069814328369E-4</v>
      </c>
      <c r="D208" s="65">
        <v>435.60663166000001</v>
      </c>
      <c r="E208" s="47">
        <f t="shared" si="16"/>
        <v>-3.4251002258932739E-2</v>
      </c>
      <c r="H208" s="65">
        <v>386.26148402000001</v>
      </c>
      <c r="I208" s="47">
        <f t="shared" si="17"/>
        <v>-5.85720560382752E-3</v>
      </c>
      <c r="L208" s="65">
        <v>72.465049579999999</v>
      </c>
      <c r="M208" s="47">
        <f t="shared" si="18"/>
        <v>-1.2607775478867489E-2</v>
      </c>
      <c r="P208" s="65">
        <v>965.40583030000005</v>
      </c>
      <c r="Q208" s="47">
        <f t="shared" si="19"/>
        <v>4.6137674748305546E-3</v>
      </c>
    </row>
    <row r="209" spans="1:17" ht="14.4" x14ac:dyDescent="0.3">
      <c r="A209" s="63">
        <v>44503</v>
      </c>
      <c r="B209" s="64">
        <v>15282.75</v>
      </c>
      <c r="C209" s="47">
        <f t="shared" si="15"/>
        <v>-2.0829982935501867E-3</v>
      </c>
      <c r="D209" s="65">
        <v>436.76171359</v>
      </c>
      <c r="E209" s="47">
        <f t="shared" si="16"/>
        <v>2.6516628674779774E-3</v>
      </c>
      <c r="H209" s="65">
        <v>389.95957138</v>
      </c>
      <c r="I209" s="47">
        <f t="shared" si="17"/>
        <v>9.5740515505513546E-3</v>
      </c>
      <c r="L209" s="65">
        <v>72.465049579999999</v>
      </c>
      <c r="M209" s="47">
        <f t="shared" si="18"/>
        <v>0</v>
      </c>
      <c r="P209" s="65">
        <v>963.69380679999995</v>
      </c>
      <c r="Q209" s="47">
        <f t="shared" si="19"/>
        <v>-1.7733718258859943E-3</v>
      </c>
    </row>
    <row r="210" spans="1:17" ht="14.4" x14ac:dyDescent="0.3">
      <c r="A210" s="63">
        <v>44504</v>
      </c>
      <c r="B210" s="64">
        <v>15376.90039063</v>
      </c>
      <c r="C210" s="47">
        <f t="shared" si="15"/>
        <v>6.1605660388346362E-3</v>
      </c>
      <c r="D210" s="65">
        <v>448.98623838999998</v>
      </c>
      <c r="E210" s="47">
        <f t="shared" si="16"/>
        <v>2.7989002743668667E-2</v>
      </c>
      <c r="H210" s="65">
        <v>395.17483616999999</v>
      </c>
      <c r="I210" s="47">
        <f t="shared" si="17"/>
        <v>1.3373860196697063E-2</v>
      </c>
      <c r="L210" s="65">
        <v>74.753929479999996</v>
      </c>
      <c r="M210" s="47">
        <f t="shared" si="18"/>
        <v>3.1585984047014515E-2</v>
      </c>
      <c r="P210" s="65">
        <v>975.32678954000005</v>
      </c>
      <c r="Q210" s="47">
        <f t="shared" si="19"/>
        <v>1.2071243643899887E-2</v>
      </c>
    </row>
    <row r="211" spans="1:17" ht="14.4" x14ac:dyDescent="0.3">
      <c r="A211" s="63">
        <v>44508</v>
      </c>
      <c r="B211" s="64">
        <v>15520.15039063</v>
      </c>
      <c r="C211" s="47">
        <f t="shared" si="15"/>
        <v>9.3159216981915094E-3</v>
      </c>
      <c r="D211" s="65">
        <v>457.55302461999997</v>
      </c>
      <c r="E211" s="47">
        <f t="shared" si="16"/>
        <v>1.9080286871863361E-2</v>
      </c>
      <c r="H211" s="65">
        <v>398.25658354000001</v>
      </c>
      <c r="I211" s="47">
        <f t="shared" si="17"/>
        <v>7.7984403052280271E-3</v>
      </c>
      <c r="L211" s="65">
        <v>75.338323630000005</v>
      </c>
      <c r="M211" s="47">
        <f t="shared" si="18"/>
        <v>7.8175709834271689E-3</v>
      </c>
      <c r="P211" s="65">
        <v>964.22058397000001</v>
      </c>
      <c r="Q211" s="47">
        <f t="shared" si="19"/>
        <v>-1.1387163450353066E-2</v>
      </c>
    </row>
    <row r="212" spans="1:17" ht="14.4" x14ac:dyDescent="0.3">
      <c r="A212" s="63">
        <v>44509</v>
      </c>
      <c r="B212" s="64">
        <v>15541.950195310001</v>
      </c>
      <c r="C212" s="47">
        <f t="shared" si="15"/>
        <v>1.4046129793408024E-3</v>
      </c>
      <c r="D212" s="65">
        <v>449.99691703000002</v>
      </c>
      <c r="E212" s="47">
        <f t="shared" si="16"/>
        <v>-1.6514168158489051E-2</v>
      </c>
      <c r="H212" s="65">
        <v>398.35141601999999</v>
      </c>
      <c r="I212" s="47">
        <f t="shared" si="17"/>
        <v>2.381190516853593E-4</v>
      </c>
      <c r="L212" s="65">
        <v>78.06550661</v>
      </c>
      <c r="M212" s="47">
        <f t="shared" si="18"/>
        <v>3.6199146046754116E-2</v>
      </c>
      <c r="P212" s="65">
        <v>959.30400219000001</v>
      </c>
      <c r="Q212" s="47">
        <f t="shared" si="19"/>
        <v>-5.0990218024146161E-3</v>
      </c>
    </row>
    <row r="213" spans="1:17" ht="14.4" x14ac:dyDescent="0.3">
      <c r="A213" s="63">
        <v>44510</v>
      </c>
      <c r="B213" s="64">
        <v>15521.09960938</v>
      </c>
      <c r="C213" s="47">
        <f t="shared" si="15"/>
        <v>-1.3415681859727524E-3</v>
      </c>
      <c r="D213" s="65">
        <v>441.1413531</v>
      </c>
      <c r="E213" s="47">
        <f t="shared" si="16"/>
        <v>-1.9679165778395014E-2</v>
      </c>
      <c r="H213" s="65">
        <v>395.22223817999998</v>
      </c>
      <c r="I213" s="47">
        <f t="shared" si="17"/>
        <v>-7.8553199867197332E-3</v>
      </c>
      <c r="L213" s="65">
        <v>77.627204520000006</v>
      </c>
      <c r="M213" s="47">
        <f t="shared" si="18"/>
        <v>-5.6145423123897809E-3</v>
      </c>
      <c r="P213" s="65">
        <v>974.62441998999998</v>
      </c>
      <c r="Q213" s="47">
        <f t="shared" si="19"/>
        <v>1.5970347006814212E-2</v>
      </c>
    </row>
    <row r="214" spans="1:17" ht="14.4" x14ac:dyDescent="0.3">
      <c r="A214" s="63">
        <v>44511</v>
      </c>
      <c r="B214" s="64">
        <v>15411.09960938</v>
      </c>
      <c r="C214" s="47">
        <f t="shared" si="15"/>
        <v>-7.0871267351136913E-3</v>
      </c>
      <c r="D214" s="65">
        <v>444.22155552999999</v>
      </c>
      <c r="E214" s="47">
        <f t="shared" si="16"/>
        <v>6.9823479670512167E-3</v>
      </c>
      <c r="H214" s="65">
        <v>397.64024354999998</v>
      </c>
      <c r="I214" s="47">
        <f t="shared" si="17"/>
        <v>6.1180903714703749E-3</v>
      </c>
      <c r="L214" s="65">
        <v>79.136896539999995</v>
      </c>
      <c r="M214" s="47">
        <f t="shared" si="18"/>
        <v>1.9447976122997312E-2</v>
      </c>
      <c r="P214" s="65">
        <v>973.61476502999994</v>
      </c>
      <c r="Q214" s="47">
        <f t="shared" si="19"/>
        <v>-1.0359426044448394E-3</v>
      </c>
    </row>
    <row r="215" spans="1:17" ht="14.4" x14ac:dyDescent="0.3">
      <c r="A215" s="63">
        <v>44512</v>
      </c>
      <c r="B215" s="64">
        <v>15579</v>
      </c>
      <c r="C215" s="47">
        <f t="shared" si="15"/>
        <v>1.0894770319815894E-2</v>
      </c>
      <c r="D215" s="65">
        <v>439.98630005000001</v>
      </c>
      <c r="E215" s="47">
        <f t="shared" si="16"/>
        <v>-9.5341061847998843E-3</v>
      </c>
      <c r="H215" s="65">
        <v>398.30398554999999</v>
      </c>
      <c r="I215" s="47">
        <f t="shared" si="17"/>
        <v>1.6692022770994352E-3</v>
      </c>
      <c r="L215" s="65">
        <v>77.286308770000005</v>
      </c>
      <c r="M215" s="47">
        <f t="shared" si="18"/>
        <v>-2.338463916214617E-2</v>
      </c>
      <c r="P215" s="65">
        <v>957.24079391999999</v>
      </c>
      <c r="Q215" s="47">
        <f t="shared" si="19"/>
        <v>-1.6817710349221526E-2</v>
      </c>
    </row>
    <row r="216" spans="1:17" ht="14.4" x14ac:dyDescent="0.3">
      <c r="A216" s="63">
        <v>44515</v>
      </c>
      <c r="B216" s="64">
        <v>15592.59960938</v>
      </c>
      <c r="C216" s="47">
        <f t="shared" si="15"/>
        <v>8.7294495025358465E-4</v>
      </c>
      <c r="D216" s="65">
        <v>445.76166154999999</v>
      </c>
      <c r="E216" s="47">
        <f t="shared" si="16"/>
        <v>1.3126230292497043E-2</v>
      </c>
      <c r="H216" s="65">
        <v>395.22223817999998</v>
      </c>
      <c r="I216" s="47">
        <f t="shared" si="17"/>
        <v>-7.737174323637741E-3</v>
      </c>
      <c r="L216" s="65">
        <v>74.900030509999993</v>
      </c>
      <c r="M216" s="47">
        <f t="shared" si="18"/>
        <v>-3.0875821319160779E-2</v>
      </c>
      <c r="P216" s="65">
        <v>1006.4944023</v>
      </c>
      <c r="Q216" s="47">
        <f t="shared" si="19"/>
        <v>5.1453728981086799E-2</v>
      </c>
    </row>
    <row r="217" spans="1:17" ht="14.4" x14ac:dyDescent="0.3">
      <c r="A217" s="63">
        <v>44516</v>
      </c>
      <c r="B217" s="64">
        <v>15525.40039063</v>
      </c>
      <c r="C217" s="47">
        <f t="shared" si="15"/>
        <v>-4.3096866740280904E-3</v>
      </c>
      <c r="D217" s="65">
        <v>462.02892015999998</v>
      </c>
      <c r="E217" s="47">
        <f t="shared" si="16"/>
        <v>3.649317564331489E-2</v>
      </c>
      <c r="H217" s="65">
        <v>395.50672613</v>
      </c>
      <c r="I217" s="47">
        <f t="shared" si="17"/>
        <v>7.1981766843398631E-4</v>
      </c>
      <c r="L217" s="65">
        <v>76.312316199999998</v>
      </c>
      <c r="M217" s="47">
        <f t="shared" si="18"/>
        <v>1.8855609008215923E-2</v>
      </c>
      <c r="P217" s="65">
        <v>1005.22135825</v>
      </c>
      <c r="Q217" s="47">
        <f t="shared" si="19"/>
        <v>-1.2648297368479389E-3</v>
      </c>
    </row>
    <row r="218" spans="1:17" ht="14.4" x14ac:dyDescent="0.3">
      <c r="A218" s="63">
        <v>44517</v>
      </c>
      <c r="B218" s="64">
        <v>15454.950195310001</v>
      </c>
      <c r="C218" s="47">
        <f t="shared" si="15"/>
        <v>-4.5377377425008802E-3</v>
      </c>
      <c r="D218" s="65">
        <v>467.90054730999998</v>
      </c>
      <c r="E218" s="47">
        <f t="shared" si="16"/>
        <v>1.2708354160961832E-2</v>
      </c>
      <c r="H218" s="65">
        <v>397.68763608</v>
      </c>
      <c r="I218" s="47">
        <f t="shared" si="17"/>
        <v>5.5142170939543877E-3</v>
      </c>
      <c r="L218" s="65">
        <v>75.289628930000006</v>
      </c>
      <c r="M218" s="47">
        <f t="shared" si="18"/>
        <v>-1.3401339664749878E-2</v>
      </c>
      <c r="P218" s="65">
        <v>983.49182592</v>
      </c>
      <c r="Q218" s="47">
        <f t="shared" si="19"/>
        <v>-2.1616663983173967E-2</v>
      </c>
    </row>
    <row r="219" spans="1:17" ht="14.4" x14ac:dyDescent="0.3">
      <c r="A219" s="63">
        <v>44518</v>
      </c>
      <c r="B219" s="64">
        <v>15302.549804689999</v>
      </c>
      <c r="C219" s="47">
        <f t="shared" si="15"/>
        <v>-9.8609434966829834E-3</v>
      </c>
      <c r="D219" s="65">
        <v>467.41926718000002</v>
      </c>
      <c r="E219" s="47">
        <f t="shared" si="16"/>
        <v>-1.02859492848828E-3</v>
      </c>
      <c r="H219" s="65">
        <v>387.16228351000001</v>
      </c>
      <c r="I219" s="47">
        <f t="shared" si="17"/>
        <v>-2.6466381187376653E-2</v>
      </c>
      <c r="L219" s="65">
        <v>74.07213797</v>
      </c>
      <c r="M219" s="47">
        <f t="shared" si="18"/>
        <v>-1.6170765845213042E-2</v>
      </c>
      <c r="P219" s="65">
        <v>942.35935658999995</v>
      </c>
      <c r="Q219" s="47">
        <f t="shared" si="19"/>
        <v>-4.1822888859826546E-2</v>
      </c>
    </row>
    <row r="220" spans="1:17" ht="14.4" x14ac:dyDescent="0.3">
      <c r="A220" s="63">
        <v>44522</v>
      </c>
      <c r="B220" s="64">
        <v>14976.700195310001</v>
      </c>
      <c r="C220" s="47">
        <f t="shared" si="15"/>
        <v>-2.1293811393453543E-2</v>
      </c>
      <c r="D220" s="65">
        <v>458.61184089</v>
      </c>
      <c r="E220" s="47">
        <f t="shared" si="16"/>
        <v>-1.8842668474357782E-2</v>
      </c>
      <c r="H220" s="65">
        <v>386.40370903000002</v>
      </c>
      <c r="I220" s="47">
        <f t="shared" si="17"/>
        <v>-1.9593191597145898E-3</v>
      </c>
      <c r="L220" s="65">
        <v>70.273566049999999</v>
      </c>
      <c r="M220" s="47">
        <f t="shared" si="18"/>
        <v>-5.1282061300005455E-2</v>
      </c>
      <c r="P220" s="65">
        <v>929.54112752000003</v>
      </c>
      <c r="Q220" s="47">
        <f t="shared" si="19"/>
        <v>-1.3602272827622386E-2</v>
      </c>
    </row>
    <row r="221" spans="1:17" ht="14.4" x14ac:dyDescent="0.3">
      <c r="A221" s="63">
        <v>44523</v>
      </c>
      <c r="B221" s="64">
        <v>15107.799804689999</v>
      </c>
      <c r="C221" s="47">
        <f t="shared" si="15"/>
        <v>8.7535710583999116E-3</v>
      </c>
      <c r="D221" s="65">
        <v>457.84177344</v>
      </c>
      <c r="E221" s="47">
        <f t="shared" si="16"/>
        <v>-1.6791268374265478E-3</v>
      </c>
      <c r="H221" s="65">
        <v>385.64513454000002</v>
      </c>
      <c r="I221" s="47">
        <f t="shared" si="17"/>
        <v>-1.9631656536224229E-3</v>
      </c>
      <c r="L221" s="65">
        <v>73.244238460000005</v>
      </c>
      <c r="M221" s="47">
        <f t="shared" si="18"/>
        <v>4.2272970861993109E-2</v>
      </c>
      <c r="P221" s="65">
        <v>942.22766254999999</v>
      </c>
      <c r="Q221" s="47">
        <f t="shared" si="19"/>
        <v>1.3648169676846234E-2</v>
      </c>
    </row>
    <row r="222" spans="1:17" ht="14.4" x14ac:dyDescent="0.3">
      <c r="A222" s="63">
        <v>44524</v>
      </c>
      <c r="B222" s="64">
        <v>15046.5</v>
      </c>
      <c r="C222" s="47">
        <f t="shared" si="15"/>
        <v>-4.0574938430789631E-3</v>
      </c>
      <c r="D222" s="65">
        <v>451.48887579000001</v>
      </c>
      <c r="E222" s="47">
        <f t="shared" si="16"/>
        <v>-1.3875749262168502E-2</v>
      </c>
      <c r="H222" s="65">
        <v>381.14104222999998</v>
      </c>
      <c r="I222" s="47">
        <f t="shared" si="17"/>
        <v>-1.1679370246360121E-2</v>
      </c>
      <c r="L222" s="65">
        <v>71.491057010000006</v>
      </c>
      <c r="M222" s="47">
        <f t="shared" si="18"/>
        <v>-2.3936100461436904E-2</v>
      </c>
      <c r="P222" s="65">
        <v>928.09249107999995</v>
      </c>
      <c r="Q222" s="47">
        <f t="shared" si="19"/>
        <v>-1.5001864232838669E-2</v>
      </c>
    </row>
    <row r="223" spans="1:17" ht="14.4" x14ac:dyDescent="0.3">
      <c r="A223" s="63">
        <v>44525</v>
      </c>
      <c r="B223" s="64">
        <v>15150.59960938</v>
      </c>
      <c r="C223" s="47">
        <f t="shared" si="15"/>
        <v>6.918526526434654E-3</v>
      </c>
      <c r="D223" s="65">
        <v>443.83654104999999</v>
      </c>
      <c r="E223" s="47">
        <f t="shared" si="16"/>
        <v>-1.6949110266803791E-2</v>
      </c>
      <c r="H223" s="65">
        <v>384.79170861</v>
      </c>
      <c r="I223" s="47">
        <f t="shared" si="17"/>
        <v>9.5782557518353517E-3</v>
      </c>
      <c r="L223" s="65">
        <v>73.682539550000001</v>
      </c>
      <c r="M223" s="47">
        <f t="shared" si="18"/>
        <v>3.0653939550697284E-2</v>
      </c>
      <c r="P223" s="65">
        <v>931.16535431</v>
      </c>
      <c r="Q223" s="47">
        <f t="shared" si="19"/>
        <v>3.3109450399972928E-3</v>
      </c>
    </row>
    <row r="224" spans="1:17" ht="14.4" x14ac:dyDescent="0.3">
      <c r="A224" s="63">
        <v>44526</v>
      </c>
      <c r="B224" s="64">
        <v>14707.200195310001</v>
      </c>
      <c r="C224" s="47">
        <f t="shared" si="15"/>
        <v>-2.9266129757365089E-2</v>
      </c>
      <c r="D224" s="65">
        <v>429.01311320000002</v>
      </c>
      <c r="E224" s="47">
        <f t="shared" si="16"/>
        <v>-3.3398394406489507E-2</v>
      </c>
      <c r="H224" s="65">
        <v>374.78789201000001</v>
      </c>
      <c r="I224" s="47">
        <f t="shared" si="17"/>
        <v>-2.5998004572752365E-2</v>
      </c>
      <c r="L224" s="65">
        <v>70.565759139999997</v>
      </c>
      <c r="M224" s="47">
        <f t="shared" si="18"/>
        <v>-4.2300121969669591E-2</v>
      </c>
      <c r="P224" s="65">
        <v>903.72907597999995</v>
      </c>
      <c r="Q224" s="47">
        <f t="shared" si="19"/>
        <v>-2.9464453550605452E-2</v>
      </c>
    </row>
    <row r="225" spans="1:17" ht="14.4" x14ac:dyDescent="0.3">
      <c r="A225" s="63">
        <v>44529</v>
      </c>
      <c r="B225" s="64">
        <v>14656.450195310001</v>
      </c>
      <c r="C225" s="47">
        <f t="shared" si="15"/>
        <v>-3.4506907722778868E-3</v>
      </c>
      <c r="D225" s="65">
        <v>416.78858838999997</v>
      </c>
      <c r="E225" s="47">
        <f t="shared" si="16"/>
        <v>-2.8494524838221347E-2</v>
      </c>
      <c r="H225" s="65">
        <v>364.07290293</v>
      </c>
      <c r="I225" s="47">
        <f t="shared" si="17"/>
        <v>-2.8589475029556444E-2</v>
      </c>
      <c r="L225" s="65">
        <v>66.961988919999996</v>
      </c>
      <c r="M225" s="47">
        <f t="shared" si="18"/>
        <v>-5.1069672655972509E-2</v>
      </c>
      <c r="P225" s="65">
        <v>898.24181969999995</v>
      </c>
      <c r="Q225" s="47">
        <f t="shared" si="19"/>
        <v>-6.0717934454522782E-3</v>
      </c>
    </row>
    <row r="226" spans="1:17" ht="14.4" x14ac:dyDescent="0.3">
      <c r="A226" s="63">
        <v>44530</v>
      </c>
      <c r="B226" s="64">
        <v>14648.34960938</v>
      </c>
      <c r="C226" s="47">
        <f t="shared" si="15"/>
        <v>-5.5269767386045832E-4</v>
      </c>
      <c r="D226" s="65">
        <v>409.4250121</v>
      </c>
      <c r="E226" s="47">
        <f t="shared" si="16"/>
        <v>-1.7667413396428411E-2</v>
      </c>
      <c r="H226" s="65">
        <v>368.29250729</v>
      </c>
      <c r="I226" s="47">
        <f t="shared" si="17"/>
        <v>1.1589998393292333E-2</v>
      </c>
      <c r="L226" s="65">
        <v>63.017315969999999</v>
      </c>
      <c r="M226" s="47">
        <f t="shared" si="18"/>
        <v>-5.8909136565712394E-2</v>
      </c>
      <c r="P226" s="65">
        <v>943.14952183000003</v>
      </c>
      <c r="Q226" s="47">
        <f t="shared" si="19"/>
        <v>4.9995113949380166E-2</v>
      </c>
    </row>
    <row r="227" spans="1:17" ht="14.4" x14ac:dyDescent="0.3">
      <c r="A227" s="63">
        <v>44531</v>
      </c>
      <c r="B227" s="64">
        <v>14784.700195310001</v>
      </c>
      <c r="C227" s="47">
        <f t="shared" si="15"/>
        <v>9.3082558490198419E-3</v>
      </c>
      <c r="D227" s="65">
        <v>411.59077266000003</v>
      </c>
      <c r="E227" s="47">
        <f t="shared" si="16"/>
        <v>5.2897612407496464E-3</v>
      </c>
      <c r="H227" s="65">
        <v>364.83147742</v>
      </c>
      <c r="I227" s="47">
        <f t="shared" si="17"/>
        <v>-9.397502804135871E-3</v>
      </c>
      <c r="L227" s="65">
        <v>65.403603200000006</v>
      </c>
      <c r="M227" s="47">
        <f t="shared" si="18"/>
        <v>3.7867167036057525E-2</v>
      </c>
      <c r="P227" s="65">
        <v>915.93273322000005</v>
      </c>
      <c r="Q227" s="47">
        <f t="shared" si="19"/>
        <v>-2.8857342319583701E-2</v>
      </c>
    </row>
    <row r="228" spans="1:17" ht="14.4" x14ac:dyDescent="0.3">
      <c r="A228" s="63">
        <v>44532</v>
      </c>
      <c r="B228" s="64">
        <v>14973.950195310001</v>
      </c>
      <c r="C228" s="47">
        <f t="shared" si="15"/>
        <v>1.2800394833845541E-2</v>
      </c>
      <c r="D228" s="65">
        <v>416.30730827000002</v>
      </c>
      <c r="E228" s="47">
        <f t="shared" si="16"/>
        <v>1.145928413195052E-2</v>
      </c>
      <c r="H228" s="65">
        <v>362.4135005</v>
      </c>
      <c r="I228" s="47">
        <f t="shared" si="17"/>
        <v>-6.6276543271412969E-3</v>
      </c>
      <c r="L228" s="65">
        <v>76.604517259999994</v>
      </c>
      <c r="M228" s="47">
        <f t="shared" si="18"/>
        <v>0.17125836363706615</v>
      </c>
      <c r="P228" s="65">
        <v>908.99684151999998</v>
      </c>
      <c r="Q228" s="47">
        <f t="shared" si="19"/>
        <v>-7.5724902587732679E-3</v>
      </c>
    </row>
    <row r="229" spans="1:17" ht="14.4" x14ac:dyDescent="0.3">
      <c r="A229" s="63">
        <v>44533</v>
      </c>
      <c r="B229" s="64">
        <v>14856.299804689999</v>
      </c>
      <c r="C229" s="47">
        <f t="shared" si="15"/>
        <v>-7.8570042697785336E-3</v>
      </c>
      <c r="D229" s="65">
        <v>415.20037359999998</v>
      </c>
      <c r="E229" s="47">
        <f t="shared" si="16"/>
        <v>-2.6589364347217037E-3</v>
      </c>
      <c r="H229" s="65">
        <v>362.27124703999999</v>
      </c>
      <c r="I229" s="47">
        <f t="shared" si="17"/>
        <v>-3.9251700006692758E-4</v>
      </c>
      <c r="L229" s="65">
        <v>73.439042150000006</v>
      </c>
      <c r="M229" s="47">
        <f t="shared" si="18"/>
        <v>-4.1322303477955402E-2</v>
      </c>
      <c r="P229" s="65">
        <v>909.30412793999994</v>
      </c>
      <c r="Q229" s="47">
        <f t="shared" si="19"/>
        <v>3.3805004150089246E-4</v>
      </c>
    </row>
    <row r="230" spans="1:17" ht="14.4" x14ac:dyDescent="0.3">
      <c r="A230" s="63">
        <v>44536</v>
      </c>
      <c r="B230" s="64">
        <v>14618.34960938</v>
      </c>
      <c r="C230" s="47">
        <f t="shared" si="15"/>
        <v>-1.6016787385704223E-2</v>
      </c>
      <c r="D230" s="65">
        <v>413.94902603000003</v>
      </c>
      <c r="E230" s="47">
        <f t="shared" si="16"/>
        <v>-3.013840183114791E-3</v>
      </c>
      <c r="H230" s="65">
        <v>359.85327013</v>
      </c>
      <c r="I230" s="47">
        <f t="shared" si="17"/>
        <v>-6.6744930207861541E-3</v>
      </c>
      <c r="L230" s="65">
        <v>69.591766570000004</v>
      </c>
      <c r="M230" s="47">
        <f t="shared" si="18"/>
        <v>-5.2387333322538421E-2</v>
      </c>
      <c r="P230" s="65">
        <v>896.48589786000002</v>
      </c>
      <c r="Q230" s="47">
        <f t="shared" si="19"/>
        <v>-1.4096746826652184E-2</v>
      </c>
    </row>
    <row r="231" spans="1:17" ht="14.4" x14ac:dyDescent="0.3">
      <c r="A231" s="63">
        <v>44537</v>
      </c>
      <c r="B231" s="64">
        <v>14834.5</v>
      </c>
      <c r="C231" s="47">
        <f t="shared" si="15"/>
        <v>1.4786237598347185E-2</v>
      </c>
      <c r="D231" s="65">
        <v>428.91685717000001</v>
      </c>
      <c r="E231" s="47">
        <f t="shared" si="16"/>
        <v>3.6158633548554864E-2</v>
      </c>
      <c r="H231" s="65">
        <v>360.37478712000001</v>
      </c>
      <c r="I231" s="47">
        <f t="shared" si="17"/>
        <v>1.4492489947683929E-3</v>
      </c>
      <c r="L231" s="65">
        <v>70.906661869999994</v>
      </c>
      <c r="M231" s="47">
        <f t="shared" si="18"/>
        <v>1.8894408991290357E-2</v>
      </c>
      <c r="P231" s="65">
        <v>897.36385877999999</v>
      </c>
      <c r="Q231" s="47">
        <f t="shared" si="19"/>
        <v>9.793360075107671E-4</v>
      </c>
    </row>
    <row r="232" spans="1:17" ht="14.4" x14ac:dyDescent="0.3">
      <c r="A232" s="63">
        <v>44538</v>
      </c>
      <c r="B232" s="64">
        <v>15073.25</v>
      </c>
      <c r="C232" s="47">
        <f t="shared" si="15"/>
        <v>1.6094239778893904E-2</v>
      </c>
      <c r="D232" s="65">
        <v>435.70288768</v>
      </c>
      <c r="E232" s="47">
        <f t="shared" si="16"/>
        <v>1.5821319205718165E-2</v>
      </c>
      <c r="H232" s="65">
        <v>358.00421222</v>
      </c>
      <c r="I232" s="47">
        <f t="shared" si="17"/>
        <v>-6.5780819988681127E-3</v>
      </c>
      <c r="L232" s="65">
        <v>71.783249100000006</v>
      </c>
      <c r="M232" s="47">
        <f t="shared" si="18"/>
        <v>1.2362551090152163E-2</v>
      </c>
      <c r="P232" s="65">
        <v>927.17063283000005</v>
      </c>
      <c r="Q232" s="47">
        <f t="shared" si="19"/>
        <v>3.3215928810107709E-2</v>
      </c>
    </row>
    <row r="233" spans="1:17" ht="14.4" x14ac:dyDescent="0.3">
      <c r="A233" s="63">
        <v>44539</v>
      </c>
      <c r="B233" s="64">
        <v>15126.59960938</v>
      </c>
      <c r="C233" s="47">
        <f t="shared" si="15"/>
        <v>3.5393567664572245E-3</v>
      </c>
      <c r="D233" s="65">
        <v>425.78853636000002</v>
      </c>
      <c r="E233" s="47">
        <f t="shared" si="16"/>
        <v>-2.2754844184740719E-2</v>
      </c>
      <c r="H233" s="65">
        <v>362.60312752999999</v>
      </c>
      <c r="I233" s="47">
        <f t="shared" si="17"/>
        <v>1.2845981005312535E-2</v>
      </c>
      <c r="L233" s="65">
        <v>71.880654440000001</v>
      </c>
      <c r="M233" s="47">
        <f t="shared" si="18"/>
        <v>1.356936906886208E-3</v>
      </c>
      <c r="P233" s="65">
        <v>918.78610571000002</v>
      </c>
      <c r="Q233" s="47">
        <f t="shared" si="19"/>
        <v>-9.0431327558423424E-3</v>
      </c>
    </row>
    <row r="234" spans="1:17" ht="14.4" x14ac:dyDescent="0.3">
      <c r="A234" s="63">
        <v>44540</v>
      </c>
      <c r="B234" s="64">
        <v>15155</v>
      </c>
      <c r="C234" s="47">
        <f t="shared" si="15"/>
        <v>1.877513212049875E-3</v>
      </c>
      <c r="D234" s="65">
        <v>421.26448392999998</v>
      </c>
      <c r="E234" s="47">
        <f t="shared" si="16"/>
        <v>-1.062511562353341E-2</v>
      </c>
      <c r="H234" s="65">
        <v>363.55135748999999</v>
      </c>
      <c r="I234" s="47">
        <f t="shared" si="17"/>
        <v>2.6150628276684351E-3</v>
      </c>
      <c r="L234" s="65">
        <v>71.442353350000005</v>
      </c>
      <c r="M234" s="47">
        <f t="shared" si="18"/>
        <v>-6.0976224189202011E-3</v>
      </c>
      <c r="P234" s="65">
        <v>987.44265007000001</v>
      </c>
      <c r="Q234" s="47">
        <f t="shared" si="19"/>
        <v>7.4725274939747788E-2</v>
      </c>
    </row>
    <row r="235" spans="1:17" ht="14.4" x14ac:dyDescent="0.3">
      <c r="A235" s="63">
        <v>44543</v>
      </c>
      <c r="B235" s="64">
        <v>15064.25</v>
      </c>
      <c r="C235" s="47">
        <f t="shared" si="15"/>
        <v>-5.9881227317717389E-3</v>
      </c>
      <c r="D235" s="65">
        <v>422.03455137999998</v>
      </c>
      <c r="E235" s="47">
        <f t="shared" si="16"/>
        <v>1.8279904415772208E-3</v>
      </c>
      <c r="H235" s="65">
        <v>358.09903522000002</v>
      </c>
      <c r="I235" s="47">
        <f t="shared" si="17"/>
        <v>-1.4997392136405163E-2</v>
      </c>
      <c r="L235" s="65">
        <v>71.929349130000006</v>
      </c>
      <c r="M235" s="47">
        <f t="shared" si="18"/>
        <v>6.8166256732078434E-3</v>
      </c>
      <c r="P235" s="65">
        <v>1010.2696340700001</v>
      </c>
      <c r="Q235" s="47">
        <f t="shared" si="19"/>
        <v>2.3117275720652586E-2</v>
      </c>
    </row>
    <row r="236" spans="1:17" ht="14.4" x14ac:dyDescent="0.3">
      <c r="A236" s="63">
        <v>44544</v>
      </c>
      <c r="B236" s="64">
        <v>15043.25</v>
      </c>
      <c r="C236" s="47">
        <f t="shared" si="15"/>
        <v>-1.3940289095042413E-3</v>
      </c>
      <c r="D236" s="65">
        <v>433.34463432000001</v>
      </c>
      <c r="E236" s="47">
        <f t="shared" si="16"/>
        <v>2.6798950235276786E-2</v>
      </c>
      <c r="H236" s="65">
        <v>356.48706325000001</v>
      </c>
      <c r="I236" s="47">
        <f t="shared" si="17"/>
        <v>-4.501469737302366E-3</v>
      </c>
      <c r="L236" s="65">
        <v>71.004060229999993</v>
      </c>
      <c r="M236" s="47">
        <f t="shared" si="18"/>
        <v>-1.2863857537869672E-2</v>
      </c>
      <c r="P236" s="65">
        <v>1006.5821979900001</v>
      </c>
      <c r="Q236" s="47">
        <f t="shared" si="19"/>
        <v>-3.6499524044335541E-3</v>
      </c>
    </row>
    <row r="237" spans="1:17" ht="14.4" x14ac:dyDescent="0.3">
      <c r="A237" s="63">
        <v>44545</v>
      </c>
      <c r="B237" s="64">
        <v>14953.09960938</v>
      </c>
      <c r="C237" s="47">
        <f t="shared" si="15"/>
        <v>-5.992746954281758E-3</v>
      </c>
      <c r="D237" s="65">
        <v>438.06117955000002</v>
      </c>
      <c r="E237" s="47">
        <f t="shared" si="16"/>
        <v>1.0884051298803321E-2</v>
      </c>
      <c r="H237" s="65">
        <v>352.12520542999999</v>
      </c>
      <c r="I237" s="47">
        <f t="shared" si="17"/>
        <v>-1.2235669312187891E-2</v>
      </c>
      <c r="L237" s="65">
        <v>71.344955990000003</v>
      </c>
      <c r="M237" s="47">
        <f t="shared" si="18"/>
        <v>4.8010741765436293E-3</v>
      </c>
      <c r="P237" s="65">
        <v>1122.42914144</v>
      </c>
      <c r="Q237" s="47">
        <f t="shared" si="19"/>
        <v>0.11508940221804997</v>
      </c>
    </row>
    <row r="238" spans="1:17" ht="14.4" x14ac:dyDescent="0.3">
      <c r="A238" s="63">
        <v>44546</v>
      </c>
      <c r="B238" s="64">
        <v>14936.450195310001</v>
      </c>
      <c r="C238" s="47">
        <f t="shared" si="15"/>
        <v>-1.1134423300139806E-3</v>
      </c>
      <c r="D238" s="65">
        <v>437.24299371000001</v>
      </c>
      <c r="E238" s="47">
        <f t="shared" si="16"/>
        <v>-1.8677433157635592E-3</v>
      </c>
      <c r="H238" s="65">
        <v>349.47014257000001</v>
      </c>
      <c r="I238" s="47">
        <f t="shared" si="17"/>
        <v>-7.5401102194820879E-3</v>
      </c>
      <c r="L238" s="65">
        <v>69.835263960000006</v>
      </c>
      <c r="M238" s="47">
        <f t="shared" si="18"/>
        <v>-2.1160459195063486E-2</v>
      </c>
      <c r="P238" s="65">
        <v>1105.7478839099999</v>
      </c>
      <c r="Q238" s="47">
        <f t="shared" si="19"/>
        <v>-1.4861746647631735E-2</v>
      </c>
    </row>
    <row r="239" spans="1:17" ht="14.4" x14ac:dyDescent="0.3">
      <c r="A239" s="63">
        <v>44547</v>
      </c>
      <c r="B239" s="64">
        <v>14673.15039063</v>
      </c>
      <c r="C239" s="47">
        <f t="shared" si="15"/>
        <v>-1.7628004059671132E-2</v>
      </c>
      <c r="D239" s="65">
        <v>442.05579496000001</v>
      </c>
      <c r="E239" s="47">
        <f t="shared" si="16"/>
        <v>1.1007154646809791E-2</v>
      </c>
      <c r="H239" s="65">
        <v>339.75078546999998</v>
      </c>
      <c r="I239" s="47">
        <f t="shared" si="17"/>
        <v>-2.7811695238179612E-2</v>
      </c>
      <c r="L239" s="65">
        <v>68.033378859999999</v>
      </c>
      <c r="M239" s="47">
        <f t="shared" si="18"/>
        <v>-2.5801937271005104E-2</v>
      </c>
      <c r="P239" s="65">
        <v>1151.92862906</v>
      </c>
      <c r="Q239" s="47">
        <f t="shared" si="19"/>
        <v>4.1764262741974978E-2</v>
      </c>
    </row>
    <row r="240" spans="1:17" ht="14.4" x14ac:dyDescent="0.3">
      <c r="A240" s="63">
        <v>44550</v>
      </c>
      <c r="B240" s="64">
        <v>14300.700195310001</v>
      </c>
      <c r="C240" s="47">
        <f t="shared" si="15"/>
        <v>-2.5383110334495029E-2</v>
      </c>
      <c r="D240" s="65">
        <v>438.92747415000002</v>
      </c>
      <c r="E240" s="47">
        <f t="shared" si="16"/>
        <v>-7.0767555717329289E-3</v>
      </c>
      <c r="H240" s="65">
        <v>330.74260084999997</v>
      </c>
      <c r="I240" s="47">
        <f t="shared" si="17"/>
        <v>-2.6514095052167064E-2</v>
      </c>
      <c r="L240" s="65">
        <v>66.13409738</v>
      </c>
      <c r="M240" s="47">
        <f t="shared" si="18"/>
        <v>-2.7916906551244014E-2</v>
      </c>
      <c r="P240" s="65">
        <v>1131.77942517</v>
      </c>
      <c r="Q240" s="47">
        <f t="shared" si="19"/>
        <v>-1.7491712057232434E-2</v>
      </c>
    </row>
    <row r="241" spans="1:17" ht="14.4" x14ac:dyDescent="0.3">
      <c r="A241" s="63">
        <v>44551</v>
      </c>
      <c r="B241" s="64">
        <v>14461.40039063</v>
      </c>
      <c r="C241" s="47">
        <f t="shared" si="15"/>
        <v>1.1237225669041173E-2</v>
      </c>
      <c r="D241" s="65">
        <v>442.87398080000003</v>
      </c>
      <c r="E241" s="47">
        <f t="shared" si="16"/>
        <v>8.9912499955546732E-3</v>
      </c>
      <c r="H241" s="65">
        <v>335.53118110999998</v>
      </c>
      <c r="I241" s="47">
        <f t="shared" si="17"/>
        <v>1.4478268743407963E-2</v>
      </c>
      <c r="L241" s="65">
        <v>66.718491529999994</v>
      </c>
      <c r="M241" s="47">
        <f t="shared" si="18"/>
        <v>8.8365030015020718E-3</v>
      </c>
      <c r="P241" s="65">
        <v>1106.27466108</v>
      </c>
      <c r="Q241" s="47">
        <f t="shared" si="19"/>
        <v>-2.2535101383530654E-2</v>
      </c>
    </row>
    <row r="242" spans="1:17" ht="14.4" x14ac:dyDescent="0.3">
      <c r="A242" s="63">
        <v>44552</v>
      </c>
      <c r="B242" s="64">
        <v>14639.75</v>
      </c>
      <c r="C242" s="47">
        <f t="shared" si="15"/>
        <v>1.2332803501212686E-2</v>
      </c>
      <c r="D242" s="65">
        <v>448.98623838999998</v>
      </c>
      <c r="E242" s="47">
        <f t="shared" si="16"/>
        <v>1.3801347234170036E-2</v>
      </c>
      <c r="H242" s="65">
        <v>343.68595878000002</v>
      </c>
      <c r="I242" s="47">
        <f t="shared" si="17"/>
        <v>2.4304082985737718E-2</v>
      </c>
      <c r="L242" s="65">
        <v>67.010691589999993</v>
      </c>
      <c r="M242" s="47">
        <f t="shared" si="18"/>
        <v>4.3795963202886146E-3</v>
      </c>
      <c r="P242" s="65">
        <v>1190.0760308500001</v>
      </c>
      <c r="Q242" s="47">
        <f t="shared" si="19"/>
        <v>7.5750961961100094E-2</v>
      </c>
    </row>
    <row r="243" spans="1:17" ht="14.4" x14ac:dyDescent="0.3">
      <c r="A243" s="63">
        <v>44553</v>
      </c>
      <c r="B243" s="64">
        <v>14751.450195310001</v>
      </c>
      <c r="C243" s="47">
        <f t="shared" si="15"/>
        <v>7.6299250540481367E-3</v>
      </c>
      <c r="D243" s="65">
        <v>447.68678204999998</v>
      </c>
      <c r="E243" s="47">
        <f t="shared" si="16"/>
        <v>-2.8942008215211423E-3</v>
      </c>
      <c r="H243" s="65">
        <v>347.52628062999997</v>
      </c>
      <c r="I243" s="47">
        <f t="shared" si="17"/>
        <v>1.1173927103778514E-2</v>
      </c>
      <c r="L243" s="65">
        <v>69.883966630000003</v>
      </c>
      <c r="M243" s="47">
        <f t="shared" si="18"/>
        <v>4.2877859813474695E-2</v>
      </c>
      <c r="P243" s="65">
        <v>1169.53174485</v>
      </c>
      <c r="Q243" s="47">
        <f t="shared" si="19"/>
        <v>-1.7263002923709414E-2</v>
      </c>
    </row>
    <row r="244" spans="1:17" ht="14.4" x14ac:dyDescent="0.3">
      <c r="A244" s="63">
        <v>44554</v>
      </c>
      <c r="B244" s="64">
        <v>14664.799804689999</v>
      </c>
      <c r="C244" s="47">
        <f t="shared" si="15"/>
        <v>-5.8740252295703677E-3</v>
      </c>
      <c r="D244" s="65">
        <v>452.98086343</v>
      </c>
      <c r="E244" s="47">
        <f t="shared" si="16"/>
        <v>1.1825413642453153E-2</v>
      </c>
      <c r="H244" s="65">
        <v>344.82381576</v>
      </c>
      <c r="I244" s="47">
        <f t="shared" si="17"/>
        <v>-7.7762892207775547E-3</v>
      </c>
      <c r="L244" s="65">
        <v>70.127465020000002</v>
      </c>
      <c r="M244" s="47">
        <f t="shared" si="18"/>
        <v>3.484324112413395E-3</v>
      </c>
      <c r="P244" s="65">
        <v>1129.89180928</v>
      </c>
      <c r="Q244" s="47">
        <f t="shared" si="19"/>
        <v>-3.3893851744130399E-2</v>
      </c>
    </row>
    <row r="245" spans="1:17" ht="14.4" x14ac:dyDescent="0.3">
      <c r="A245" s="63">
        <v>44557</v>
      </c>
      <c r="B245" s="64">
        <v>14727.59960938</v>
      </c>
      <c r="C245" s="47">
        <f t="shared" si="15"/>
        <v>4.2823499486106531E-3</v>
      </c>
      <c r="D245" s="65">
        <v>447.68678204999998</v>
      </c>
      <c r="E245" s="47">
        <f t="shared" si="16"/>
        <v>-1.1687207578512049E-2</v>
      </c>
      <c r="H245" s="65">
        <v>342.07395836000001</v>
      </c>
      <c r="I245" s="47">
        <f t="shared" si="17"/>
        <v>-7.9746736574423105E-3</v>
      </c>
      <c r="L245" s="65">
        <v>70.468360779999998</v>
      </c>
      <c r="M245" s="47">
        <f t="shared" si="18"/>
        <v>4.8610877336401348E-3</v>
      </c>
      <c r="P245" s="65">
        <v>1147.05594563</v>
      </c>
      <c r="Q245" s="47">
        <f t="shared" si="19"/>
        <v>1.519095563754691E-2</v>
      </c>
    </row>
    <row r="246" spans="1:17" ht="14.4" x14ac:dyDescent="0.3">
      <c r="A246" s="63">
        <v>44558</v>
      </c>
      <c r="B246" s="64">
        <v>14867.84960938</v>
      </c>
      <c r="C246" s="47">
        <f t="shared" si="15"/>
        <v>9.522936779913227E-3</v>
      </c>
      <c r="D246" s="65">
        <v>448.50495826000002</v>
      </c>
      <c r="E246" s="47">
        <f t="shared" si="16"/>
        <v>1.8275639192506521E-3</v>
      </c>
      <c r="H246" s="65">
        <v>344.44453326000001</v>
      </c>
      <c r="I246" s="47">
        <f t="shared" si="17"/>
        <v>6.9300069241318152E-3</v>
      </c>
      <c r="L246" s="65">
        <v>70.565759139999997</v>
      </c>
      <c r="M246" s="47">
        <f t="shared" si="18"/>
        <v>1.3821573103434126E-3</v>
      </c>
      <c r="P246" s="65">
        <v>1157.15249625</v>
      </c>
      <c r="Q246" s="47">
        <f t="shared" si="19"/>
        <v>8.8021431373643821E-3</v>
      </c>
    </row>
    <row r="247" spans="1:17" ht="14.4" x14ac:dyDescent="0.3">
      <c r="A247" s="63">
        <v>44559</v>
      </c>
      <c r="B247" s="64">
        <v>14863.40039063</v>
      </c>
      <c r="C247" s="47">
        <f t="shared" si="15"/>
        <v>-2.9925099236904895E-4</v>
      </c>
      <c r="D247" s="65">
        <v>456.25355865</v>
      </c>
      <c r="E247" s="47">
        <f t="shared" si="16"/>
        <v>1.7276509985666877E-2</v>
      </c>
      <c r="H247" s="65">
        <v>338.23363649999999</v>
      </c>
      <c r="I247" s="47">
        <f t="shared" si="17"/>
        <v>-1.8031631105353663E-2</v>
      </c>
      <c r="L247" s="65">
        <v>75.143528900000007</v>
      </c>
      <c r="M247" s="47">
        <f t="shared" si="18"/>
        <v>6.4872394427414548E-2</v>
      </c>
      <c r="P247" s="65">
        <v>1133.5792453700001</v>
      </c>
      <c r="Q247" s="47">
        <f t="shared" si="19"/>
        <v>-2.0371775506161982E-2</v>
      </c>
    </row>
    <row r="248" spans="1:17" ht="14.4" x14ac:dyDescent="0.3">
      <c r="A248" s="63">
        <v>44560</v>
      </c>
      <c r="B248" s="64">
        <v>14842.049804689999</v>
      </c>
      <c r="C248" s="47">
        <f t="shared" si="15"/>
        <v>-1.4364536632855973E-3</v>
      </c>
      <c r="D248" s="65">
        <v>461.88454574000002</v>
      </c>
      <c r="E248" s="47">
        <f t="shared" si="16"/>
        <v>1.2341793249046606E-2</v>
      </c>
      <c r="H248" s="65">
        <v>355.96551779999999</v>
      </c>
      <c r="I248" s="47">
        <f t="shared" si="17"/>
        <v>5.2424949462410941E-2</v>
      </c>
      <c r="L248" s="65">
        <v>74.07213797</v>
      </c>
      <c r="M248" s="47">
        <f t="shared" si="18"/>
        <v>-1.425792673945081E-2</v>
      </c>
      <c r="P248" s="65">
        <v>1116.0639252599999</v>
      </c>
      <c r="Q248" s="47">
        <f t="shared" si="19"/>
        <v>-1.5451341563935572E-2</v>
      </c>
    </row>
    <row r="249" spans="1:17" ht="14.4" x14ac:dyDescent="0.3">
      <c r="A249" s="63">
        <v>44561</v>
      </c>
      <c r="B249" s="64">
        <v>14996.200195310001</v>
      </c>
      <c r="C249" s="47">
        <f t="shared" si="15"/>
        <v>1.0386058034335122E-2</v>
      </c>
      <c r="D249" s="65">
        <v>461.16262555999998</v>
      </c>
      <c r="E249" s="47">
        <f t="shared" si="16"/>
        <v>-1.5629883845613701E-3</v>
      </c>
      <c r="H249" s="65">
        <v>355.15952234000002</v>
      </c>
      <c r="I249" s="47">
        <f t="shared" si="17"/>
        <v>-2.2642515066664259E-3</v>
      </c>
      <c r="L249" s="65">
        <v>76.750617289999994</v>
      </c>
      <c r="M249" s="47">
        <f t="shared" si="18"/>
        <v>3.6160415959436865E-2</v>
      </c>
      <c r="P249" s="65">
        <v>1127.5213156100001</v>
      </c>
      <c r="Q249" s="47">
        <f t="shared" si="19"/>
        <v>1.0265890770845498E-2</v>
      </c>
    </row>
    <row r="250" spans="1:17" ht="14.4" x14ac:dyDescent="0.3">
      <c r="A250" s="63">
        <v>44564</v>
      </c>
      <c r="B250" s="64">
        <v>15204.59960938</v>
      </c>
      <c r="C250" s="47">
        <f t="shared" si="15"/>
        <v>1.3896814616757069E-2</v>
      </c>
      <c r="D250" s="65">
        <v>460.58507978</v>
      </c>
      <c r="E250" s="47">
        <f t="shared" si="16"/>
        <v>-1.2523690082184569E-3</v>
      </c>
      <c r="H250" s="65">
        <v>356.15518276</v>
      </c>
      <c r="I250" s="47">
        <f t="shared" si="17"/>
        <v>2.8034174993816219E-3</v>
      </c>
      <c r="L250" s="65">
        <v>75.484424660000002</v>
      </c>
      <c r="M250" s="47">
        <f t="shared" si="18"/>
        <v>-1.6497491156529986E-2</v>
      </c>
      <c r="P250" s="65">
        <v>1130.9453626</v>
      </c>
      <c r="Q250" s="47">
        <f t="shared" si="19"/>
        <v>3.0367913604785191E-3</v>
      </c>
    </row>
    <row r="251" spans="1:17" ht="14.4" x14ac:dyDescent="0.3">
      <c r="A251" s="63">
        <v>44565</v>
      </c>
      <c r="B251" s="64">
        <v>15318.75</v>
      </c>
      <c r="C251" s="47">
        <f t="shared" si="15"/>
        <v>7.5076222690912964E-3</v>
      </c>
      <c r="D251" s="65">
        <v>445.56913025</v>
      </c>
      <c r="E251" s="47">
        <f t="shared" si="16"/>
        <v>-3.2601901774960695E-2</v>
      </c>
      <c r="H251" s="65">
        <v>354.82766082000001</v>
      </c>
      <c r="I251" s="47">
        <f t="shared" si="17"/>
        <v>-3.727369428439764E-3</v>
      </c>
      <c r="L251" s="65">
        <v>74.948725199999998</v>
      </c>
      <c r="M251" s="47">
        <f t="shared" si="18"/>
        <v>-7.0968211311528417E-3</v>
      </c>
      <c r="P251" s="65">
        <v>1133.5353470099999</v>
      </c>
      <c r="Q251" s="47">
        <f t="shared" si="19"/>
        <v>2.2901056900270778E-3</v>
      </c>
    </row>
    <row r="252" spans="1:17" ht="14.4" x14ac:dyDescent="0.3">
      <c r="A252" s="63">
        <v>44566</v>
      </c>
      <c r="B252" s="64">
        <v>15396.40039063</v>
      </c>
      <c r="C252" s="47">
        <f t="shared" si="15"/>
        <v>5.0689769485108283E-3</v>
      </c>
      <c r="D252" s="65">
        <v>441.38199315999998</v>
      </c>
      <c r="E252" s="47">
        <f t="shared" si="16"/>
        <v>-9.3972782352554907E-3</v>
      </c>
      <c r="H252" s="65">
        <v>352.64671293999999</v>
      </c>
      <c r="I252" s="47">
        <f t="shared" si="17"/>
        <v>-6.1464990495946337E-3</v>
      </c>
      <c r="L252" s="65">
        <v>74.997427869999996</v>
      </c>
      <c r="M252" s="47">
        <f t="shared" si="18"/>
        <v>6.4981318721613057E-4</v>
      </c>
      <c r="P252" s="65">
        <v>1108.6012574199999</v>
      </c>
      <c r="Q252" s="47">
        <f t="shared" si="19"/>
        <v>-2.1996746423276758E-2</v>
      </c>
    </row>
    <row r="253" spans="1:17" ht="14.4" x14ac:dyDescent="0.3">
      <c r="A253" s="63">
        <v>44567</v>
      </c>
      <c r="B253" s="64">
        <v>15290.09960938</v>
      </c>
      <c r="C253" s="47">
        <f t="shared" si="15"/>
        <v>-6.9042619412972295E-3</v>
      </c>
      <c r="D253" s="65">
        <v>443.06647359999999</v>
      </c>
      <c r="E253" s="47">
        <f t="shared" si="16"/>
        <v>3.8163777999646875E-3</v>
      </c>
      <c r="H253" s="65">
        <v>354.96989531000003</v>
      </c>
      <c r="I253" s="47">
        <f t="shared" si="17"/>
        <v>6.5878463764252881E-3</v>
      </c>
      <c r="L253" s="65">
        <v>74.16953633</v>
      </c>
      <c r="M253" s="47">
        <f t="shared" si="18"/>
        <v>-1.1038932447590799E-2</v>
      </c>
      <c r="P253" s="65">
        <v>1073.7901069300001</v>
      </c>
      <c r="Q253" s="47">
        <f t="shared" si="19"/>
        <v>-3.1400966088577564E-2</v>
      </c>
    </row>
    <row r="254" spans="1:17" ht="14.4" x14ac:dyDescent="0.3">
      <c r="A254" s="63">
        <v>44568</v>
      </c>
      <c r="B254" s="64">
        <v>15348.549804689999</v>
      </c>
      <c r="C254" s="47">
        <f t="shared" si="15"/>
        <v>3.8227478435877149E-3</v>
      </c>
      <c r="D254" s="65">
        <v>444.26967390999999</v>
      </c>
      <c r="E254" s="47">
        <f t="shared" si="16"/>
        <v>2.7156203000957557E-3</v>
      </c>
      <c r="H254" s="65">
        <v>354.21129237999997</v>
      </c>
      <c r="I254" s="47">
        <f t="shared" si="17"/>
        <v>-2.1370908914333242E-3</v>
      </c>
      <c r="L254" s="65">
        <v>74.60782845</v>
      </c>
      <c r="M254" s="47">
        <f t="shared" si="18"/>
        <v>5.9093280299060691E-3</v>
      </c>
      <c r="P254" s="65">
        <v>1118.8734004200001</v>
      </c>
      <c r="Q254" s="47">
        <f t="shared" si="19"/>
        <v>4.1985201017445073E-2</v>
      </c>
    </row>
    <row r="255" spans="1:17" ht="14.4" x14ac:dyDescent="0.3">
      <c r="A255" s="63">
        <v>44571</v>
      </c>
      <c r="B255" s="64">
        <v>15495.549804689999</v>
      </c>
      <c r="C255" s="47">
        <f t="shared" si="15"/>
        <v>9.5774520635871774E-3</v>
      </c>
      <c r="D255" s="65">
        <v>464.96471929000001</v>
      </c>
      <c r="E255" s="47">
        <f t="shared" si="16"/>
        <v>4.6582169784094685E-2</v>
      </c>
      <c r="H255" s="65">
        <v>361.32301708</v>
      </c>
      <c r="I255" s="47">
        <f t="shared" si="17"/>
        <v>2.0077634036496317E-2</v>
      </c>
      <c r="L255" s="65">
        <v>74.510432089999995</v>
      </c>
      <c r="M255" s="47">
        <f t="shared" si="18"/>
        <v>-1.3054442412202549E-3</v>
      </c>
      <c r="P255" s="65">
        <v>1102.8945114200001</v>
      </c>
      <c r="Q255" s="47">
        <f t="shared" si="19"/>
        <v>-1.428123056102848E-2</v>
      </c>
    </row>
    <row r="256" spans="1:17" ht="14.4" x14ac:dyDescent="0.3">
      <c r="A256" s="63">
        <v>44572</v>
      </c>
      <c r="B256" s="64">
        <v>15530.549804689999</v>
      </c>
      <c r="C256" s="47">
        <f t="shared" si="15"/>
        <v>2.2587130138103095E-3</v>
      </c>
      <c r="D256" s="65">
        <v>468.57432023000001</v>
      </c>
      <c r="E256" s="47">
        <f t="shared" si="16"/>
        <v>7.7631716778681081E-3</v>
      </c>
      <c r="H256" s="65">
        <v>362.88761548000002</v>
      </c>
      <c r="I256" s="47">
        <f t="shared" si="17"/>
        <v>4.3301930019410406E-3</v>
      </c>
      <c r="L256" s="65">
        <v>74.60782845</v>
      </c>
      <c r="M256" s="47">
        <f t="shared" si="18"/>
        <v>1.3071506535133892E-3</v>
      </c>
      <c r="P256" s="65">
        <v>1083.4476770799999</v>
      </c>
      <c r="Q256" s="47">
        <f t="shared" si="19"/>
        <v>-1.7632542494895431E-2</v>
      </c>
    </row>
    <row r="257" spans="1:17" ht="14.4" x14ac:dyDescent="0.3">
      <c r="A257" s="63">
        <v>44573</v>
      </c>
      <c r="B257" s="64">
        <v>15667.90039063</v>
      </c>
      <c r="C257" s="47">
        <f t="shared" si="15"/>
        <v>8.8438972005049354E-3</v>
      </c>
      <c r="D257" s="65">
        <v>476.17856546000002</v>
      </c>
      <c r="E257" s="47">
        <f t="shared" si="16"/>
        <v>1.6228471987682624E-2</v>
      </c>
      <c r="H257" s="65">
        <v>359.23693013000002</v>
      </c>
      <c r="I257" s="47">
        <f t="shared" si="17"/>
        <v>-1.0060099034162828E-2</v>
      </c>
      <c r="L257" s="65">
        <v>73.877334270000006</v>
      </c>
      <c r="M257" s="47">
        <f t="shared" si="18"/>
        <v>-9.7911197145960083E-3</v>
      </c>
      <c r="P257" s="65">
        <v>1082.52581781</v>
      </c>
      <c r="Q257" s="47">
        <f t="shared" si="19"/>
        <v>-8.5085721212163623E-4</v>
      </c>
    </row>
    <row r="258" spans="1:17" ht="14.4" x14ac:dyDescent="0.3">
      <c r="A258" s="63">
        <v>44574</v>
      </c>
      <c r="B258" s="64">
        <v>15721.049804689999</v>
      </c>
      <c r="C258" s="47">
        <f t="shared" si="15"/>
        <v>3.3922486571196231E-3</v>
      </c>
      <c r="D258" s="65">
        <v>500.48321177999998</v>
      </c>
      <c r="E258" s="47">
        <f t="shared" si="16"/>
        <v>5.1041033937596625E-2</v>
      </c>
      <c r="H258" s="65">
        <v>363.83584544000001</v>
      </c>
      <c r="I258" s="47">
        <f t="shared" si="17"/>
        <v>1.2801900150788414E-2</v>
      </c>
      <c r="L258" s="65">
        <v>74.60782845</v>
      </c>
      <c r="M258" s="47">
        <f t="shared" si="18"/>
        <v>9.88793365675944E-3</v>
      </c>
      <c r="P258" s="65">
        <v>1081.95514331</v>
      </c>
      <c r="Q258" s="47">
        <f t="shared" si="19"/>
        <v>-5.2716941306263365E-4</v>
      </c>
    </row>
    <row r="259" spans="1:17" ht="14.4" x14ac:dyDescent="0.3">
      <c r="A259" s="63">
        <v>44575</v>
      </c>
      <c r="B259" s="64">
        <v>15730.40039063</v>
      </c>
      <c r="C259" s="47">
        <f t="shared" si="15"/>
        <v>5.9478126818302002E-4</v>
      </c>
      <c r="D259" s="65">
        <v>490.61696921999999</v>
      </c>
      <c r="E259" s="47">
        <f t="shared" si="16"/>
        <v>-1.971343359332689E-2</v>
      </c>
      <c r="H259" s="65">
        <v>366.30122438000001</v>
      </c>
      <c r="I259" s="47">
        <f t="shared" si="17"/>
        <v>6.7760748999827758E-3</v>
      </c>
      <c r="L259" s="65">
        <v>77.578509830000002</v>
      </c>
      <c r="M259" s="47">
        <f t="shared" si="18"/>
        <v>3.9817287833151083E-2</v>
      </c>
      <c r="P259" s="65">
        <v>1076.51178538</v>
      </c>
      <c r="Q259" s="47">
        <f t="shared" si="19"/>
        <v>-5.0310384526176533E-3</v>
      </c>
    </row>
    <row r="260" spans="1:17" ht="14.4" x14ac:dyDescent="0.3">
      <c r="A260" s="63">
        <v>44578</v>
      </c>
      <c r="B260" s="64">
        <v>15781.25</v>
      </c>
      <c r="C260" s="47">
        <f t="shared" ref="C260:C323" si="20">B260/B259-1</f>
        <v>3.2325692993986355E-3</v>
      </c>
      <c r="D260" s="65">
        <v>487.8736725</v>
      </c>
      <c r="E260" s="47">
        <f t="shared" ref="E260:E323" si="21">D260/D259-1</f>
        <v>-5.5915243297870454E-3</v>
      </c>
      <c r="H260" s="65">
        <v>368.86145475000001</v>
      </c>
      <c r="I260" s="47">
        <f t="shared" ref="I260:I323" si="22">H260/H259-1</f>
        <v>6.9894125370000282E-3</v>
      </c>
      <c r="L260" s="65">
        <v>80.062186440000005</v>
      </c>
      <c r="M260" s="47">
        <f t="shared" ref="M260:M323" si="23">L260/L259-1</f>
        <v>3.2015007963449582E-2</v>
      </c>
      <c r="P260" s="65">
        <v>1090.8664465700001</v>
      </c>
      <c r="Q260" s="47">
        <f t="shared" ref="Q260:Q323" si="24">P260/P259-1</f>
        <v>1.3334420844201889E-2</v>
      </c>
    </row>
    <row r="261" spans="1:17" ht="14.4" x14ac:dyDescent="0.3">
      <c r="A261" s="63">
        <v>44579</v>
      </c>
      <c r="B261" s="64">
        <v>15573.09960938</v>
      </c>
      <c r="C261" s="47">
        <f t="shared" si="20"/>
        <v>-1.3189727722455413E-2</v>
      </c>
      <c r="D261" s="65">
        <v>478.72935013</v>
      </c>
      <c r="E261" s="47">
        <f t="shared" si="21"/>
        <v>-1.8743217528303879E-2</v>
      </c>
      <c r="H261" s="65">
        <v>388.82168595000002</v>
      </c>
      <c r="I261" s="47">
        <f t="shared" si="22"/>
        <v>5.4113084853304239E-2</v>
      </c>
      <c r="L261" s="65">
        <v>77.042810369999998</v>
      </c>
      <c r="M261" s="47">
        <f t="shared" si="23"/>
        <v>-3.7712885498858761E-2</v>
      </c>
      <c r="P261" s="65">
        <v>1059.6549354599999</v>
      </c>
      <c r="Q261" s="47">
        <f t="shared" si="24"/>
        <v>-2.8611670299456216E-2</v>
      </c>
    </row>
    <row r="262" spans="1:17" ht="14.4" x14ac:dyDescent="0.3">
      <c r="A262" s="63">
        <v>44580</v>
      </c>
      <c r="B262" s="64">
        <v>15472.5</v>
      </c>
      <c r="C262" s="47">
        <f t="shared" si="20"/>
        <v>-6.4598321402508097E-3</v>
      </c>
      <c r="D262" s="65">
        <v>481.52076522999999</v>
      </c>
      <c r="E262" s="47">
        <f t="shared" si="21"/>
        <v>5.830883565509426E-3</v>
      </c>
      <c r="H262" s="65">
        <v>387.92088645000001</v>
      </c>
      <c r="I262" s="47">
        <f t="shared" si="22"/>
        <v>-2.316741921940646E-3</v>
      </c>
      <c r="L262" s="65">
        <v>75.971420440000003</v>
      </c>
      <c r="M262" s="47">
        <f t="shared" si="23"/>
        <v>-1.3906423258116085E-2</v>
      </c>
      <c r="P262" s="65">
        <v>1087.6618893100001</v>
      </c>
      <c r="Q262" s="47">
        <f t="shared" si="24"/>
        <v>2.6430258485836466E-2</v>
      </c>
    </row>
    <row r="263" spans="1:17" ht="14.4" x14ac:dyDescent="0.3">
      <c r="A263" s="63">
        <v>44581</v>
      </c>
      <c r="B263" s="64">
        <v>15361.09960938</v>
      </c>
      <c r="C263" s="47">
        <f t="shared" si="20"/>
        <v>-7.1998959844885579E-3</v>
      </c>
      <c r="D263" s="65">
        <v>475.07160191999998</v>
      </c>
      <c r="E263" s="47">
        <f t="shared" si="21"/>
        <v>-1.3393323353188213E-2</v>
      </c>
      <c r="H263" s="65">
        <v>390.81296886000001</v>
      </c>
      <c r="I263" s="47">
        <f t="shared" si="22"/>
        <v>7.455340795043286E-3</v>
      </c>
      <c r="L263" s="65">
        <v>76.11752147</v>
      </c>
      <c r="M263" s="47">
        <f t="shared" si="23"/>
        <v>1.9231051513033393E-3</v>
      </c>
      <c r="P263" s="65">
        <v>1070.9367334200001</v>
      </c>
      <c r="Q263" s="47">
        <f t="shared" si="24"/>
        <v>-1.5377164589825076E-2</v>
      </c>
    </row>
    <row r="264" spans="1:17" ht="14.4" x14ac:dyDescent="0.3">
      <c r="A264" s="63">
        <v>44582</v>
      </c>
      <c r="B264" s="64">
        <v>15180.799804689999</v>
      </c>
      <c r="C264" s="47">
        <f t="shared" si="20"/>
        <v>-1.1737428261965333E-2</v>
      </c>
      <c r="D264" s="65">
        <v>478.10368596000001</v>
      </c>
      <c r="E264" s="47">
        <f t="shared" si="21"/>
        <v>6.3823727365430738E-3</v>
      </c>
      <c r="H264" s="65">
        <v>382.23150668</v>
      </c>
      <c r="I264" s="47">
        <f t="shared" si="22"/>
        <v>-2.1957976996086148E-2</v>
      </c>
      <c r="L264" s="65">
        <v>75.094825240000006</v>
      </c>
      <c r="M264" s="47">
        <f t="shared" si="23"/>
        <v>-1.3435753164966924E-2</v>
      </c>
      <c r="P264" s="65">
        <v>1051.6215931199999</v>
      </c>
      <c r="Q264" s="47">
        <f t="shared" si="24"/>
        <v>-1.8035743566585771E-2</v>
      </c>
    </row>
    <row r="265" spans="1:17" ht="14.4" x14ac:dyDescent="0.3">
      <c r="A265" s="63">
        <v>44585</v>
      </c>
      <c r="B265" s="64">
        <v>14712.049804689999</v>
      </c>
      <c r="C265" s="47">
        <f t="shared" si="20"/>
        <v>-3.0877819748020285E-2</v>
      </c>
      <c r="D265" s="65">
        <v>470.01816061</v>
      </c>
      <c r="E265" s="47">
        <f t="shared" si="21"/>
        <v>-1.6911656587137225E-2</v>
      </c>
      <c r="H265" s="65">
        <v>373.36554706999999</v>
      </c>
      <c r="I265" s="47">
        <f t="shared" si="22"/>
        <v>-2.3195261131161771E-2</v>
      </c>
      <c r="L265" s="65">
        <v>71.296253320000005</v>
      </c>
      <c r="M265" s="47">
        <f t="shared" si="23"/>
        <v>-5.0583670816995996E-2</v>
      </c>
      <c r="P265" s="65">
        <v>1015.75688932</v>
      </c>
      <c r="Q265" s="47">
        <f t="shared" si="24"/>
        <v>-3.4104191122202865E-2</v>
      </c>
    </row>
    <row r="266" spans="1:17" ht="14.4" x14ac:dyDescent="0.3">
      <c r="A266" s="63">
        <v>44586</v>
      </c>
      <c r="B266" s="64">
        <v>14832.200195310001</v>
      </c>
      <c r="C266" s="47">
        <f t="shared" si="20"/>
        <v>8.1668015140690109E-3</v>
      </c>
      <c r="D266" s="65">
        <v>480.70257938999998</v>
      </c>
      <c r="E266" s="47">
        <f t="shared" si="21"/>
        <v>2.2731927562402054E-2</v>
      </c>
      <c r="H266" s="65">
        <v>379.05492683</v>
      </c>
      <c r="I266" s="47">
        <f t="shared" si="22"/>
        <v>1.5238095225035053E-2</v>
      </c>
      <c r="L266" s="65">
        <v>72.22155119</v>
      </c>
      <c r="M266" s="47">
        <f t="shared" si="23"/>
        <v>1.2978211713972732E-2</v>
      </c>
      <c r="P266" s="65">
        <v>1015.3618072100001</v>
      </c>
      <c r="Q266" s="47">
        <f t="shared" si="24"/>
        <v>-3.8895341410327688E-4</v>
      </c>
    </row>
    <row r="267" spans="1:17" ht="14.4" x14ac:dyDescent="0.3">
      <c r="A267" s="63">
        <v>44588</v>
      </c>
      <c r="B267" s="64">
        <v>14679.700195310001</v>
      </c>
      <c r="C267" s="47">
        <f t="shared" si="20"/>
        <v>-1.0281684307916872E-2</v>
      </c>
      <c r="D267" s="65">
        <v>461.64390567999999</v>
      </c>
      <c r="E267" s="47">
        <f t="shared" si="21"/>
        <v>-3.9647537848007786E-2</v>
      </c>
      <c r="H267" s="65">
        <v>378.67564433000001</v>
      </c>
      <c r="I267" s="47">
        <f t="shared" si="22"/>
        <v>-1.0006003699039034E-3</v>
      </c>
      <c r="L267" s="65">
        <v>70.760561839999994</v>
      </c>
      <c r="M267" s="47">
        <f t="shared" si="23"/>
        <v>-2.0229271262208748E-2</v>
      </c>
      <c r="P267" s="65">
        <v>982.13098618000004</v>
      </c>
      <c r="Q267" s="47">
        <f t="shared" si="24"/>
        <v>-3.2728058898838563E-2</v>
      </c>
    </row>
    <row r="268" spans="1:17" ht="14.4" x14ac:dyDescent="0.3">
      <c r="A268" s="63">
        <v>44589</v>
      </c>
      <c r="B268" s="64">
        <v>14723.25</v>
      </c>
      <c r="C268" s="47">
        <f t="shared" si="20"/>
        <v>2.9666685361811052E-3</v>
      </c>
      <c r="D268" s="65">
        <v>481.85767093999999</v>
      </c>
      <c r="E268" s="47">
        <f t="shared" si="21"/>
        <v>4.3786487834655219E-2</v>
      </c>
      <c r="H268" s="65">
        <v>374.31377702999998</v>
      </c>
      <c r="I268" s="47">
        <f t="shared" si="22"/>
        <v>-1.1518742663573112E-2</v>
      </c>
      <c r="L268" s="65">
        <v>71.247558620000007</v>
      </c>
      <c r="M268" s="47">
        <f t="shared" si="23"/>
        <v>6.8823192939193589E-3</v>
      </c>
      <c r="P268" s="65">
        <v>1005.22135825</v>
      </c>
      <c r="Q268" s="47">
        <f t="shared" si="24"/>
        <v>2.3510481183177001E-2</v>
      </c>
    </row>
    <row r="269" spans="1:17" ht="14.4" x14ac:dyDescent="0.3">
      <c r="A269" s="63">
        <v>44592</v>
      </c>
      <c r="B269" s="64">
        <v>14921.450195310001</v>
      </c>
      <c r="C269" s="47">
        <f t="shared" si="20"/>
        <v>1.3461714995670171E-2</v>
      </c>
      <c r="D269" s="65">
        <v>476.61169832000002</v>
      </c>
      <c r="E269" s="47">
        <f t="shared" si="21"/>
        <v>-1.0886975421115941E-2</v>
      </c>
      <c r="H269" s="65">
        <v>379.57644383000002</v>
      </c>
      <c r="I269" s="47">
        <f t="shared" si="22"/>
        <v>1.4059506015933421E-2</v>
      </c>
      <c r="L269" s="65">
        <v>71.296253320000005</v>
      </c>
      <c r="M269" s="47">
        <f t="shared" si="23"/>
        <v>6.8345780463463512E-4</v>
      </c>
      <c r="P269" s="65">
        <v>1050.3046517400001</v>
      </c>
      <c r="Q269" s="47">
        <f t="shared" si="24"/>
        <v>4.4849120166413847E-2</v>
      </c>
    </row>
    <row r="270" spans="1:17" ht="14.4" x14ac:dyDescent="0.3">
      <c r="A270" s="63">
        <v>44593</v>
      </c>
      <c r="B270" s="64">
        <v>15116.200195310001</v>
      </c>
      <c r="C270" s="47">
        <f t="shared" si="20"/>
        <v>1.3051680463418425E-2</v>
      </c>
      <c r="D270" s="65">
        <v>485.32288784000002</v>
      </c>
      <c r="E270" s="47">
        <f t="shared" si="21"/>
        <v>1.82773304782613E-2</v>
      </c>
      <c r="H270" s="65">
        <v>381.23584626000002</v>
      </c>
      <c r="I270" s="47">
        <f t="shared" si="22"/>
        <v>4.3717213145693101E-3</v>
      </c>
      <c r="L270" s="65">
        <v>70.224862389999998</v>
      </c>
      <c r="M270" s="47">
        <f t="shared" si="23"/>
        <v>-1.5027310414072792E-2</v>
      </c>
      <c r="P270" s="65">
        <v>1065.8445602700001</v>
      </c>
      <c r="Q270" s="47">
        <f t="shared" si="24"/>
        <v>1.4795620017730826E-2</v>
      </c>
    </row>
    <row r="271" spans="1:17" ht="14.4" x14ac:dyDescent="0.3">
      <c r="A271" s="63">
        <v>44594</v>
      </c>
      <c r="B271" s="64">
        <v>15293.34960938</v>
      </c>
      <c r="C271" s="47">
        <f t="shared" si="20"/>
        <v>1.171917623351959E-2</v>
      </c>
      <c r="D271" s="65">
        <v>497.45112774</v>
      </c>
      <c r="E271" s="47">
        <f t="shared" si="21"/>
        <v>2.4990043131859041E-2</v>
      </c>
      <c r="H271" s="65">
        <v>381.33066925999998</v>
      </c>
      <c r="I271" s="47">
        <f t="shared" si="22"/>
        <v>2.4872529939190535E-4</v>
      </c>
      <c r="L271" s="65">
        <v>70.127465020000002</v>
      </c>
      <c r="M271" s="47">
        <f t="shared" si="23"/>
        <v>-1.3869357188497355E-3</v>
      </c>
      <c r="P271" s="65">
        <v>1068.12725826</v>
      </c>
      <c r="Q271" s="47">
        <f t="shared" si="24"/>
        <v>2.1416800114095746E-3</v>
      </c>
    </row>
    <row r="272" spans="1:17" ht="14.4" x14ac:dyDescent="0.3">
      <c r="A272" s="63">
        <v>44595</v>
      </c>
      <c r="B272" s="64">
        <v>15135.90039063</v>
      </c>
      <c r="C272" s="47">
        <f t="shared" si="20"/>
        <v>-1.0295273617064948E-2</v>
      </c>
      <c r="D272" s="65">
        <v>500.53133016999999</v>
      </c>
      <c r="E272" s="47">
        <f t="shared" si="21"/>
        <v>6.1919699408339302E-3</v>
      </c>
      <c r="H272" s="65">
        <v>382.08927218999997</v>
      </c>
      <c r="I272" s="47">
        <f t="shared" si="22"/>
        <v>1.9893572459621645E-3</v>
      </c>
      <c r="L272" s="65">
        <v>69.883966630000003</v>
      </c>
      <c r="M272" s="47">
        <f t="shared" si="23"/>
        <v>-3.4722257525001687E-3</v>
      </c>
      <c r="P272" s="65">
        <v>1069.0052191899999</v>
      </c>
      <c r="Q272" s="47">
        <f t="shared" si="24"/>
        <v>8.2196285434199545E-4</v>
      </c>
    </row>
    <row r="273" spans="1:17" ht="14.4" x14ac:dyDescent="0.3">
      <c r="A273" s="63">
        <v>44596</v>
      </c>
      <c r="B273" s="64">
        <v>15085.450195310001</v>
      </c>
      <c r="C273" s="47">
        <f t="shared" si="20"/>
        <v>-3.3331479474607573E-3</v>
      </c>
      <c r="D273" s="65">
        <v>505.44036819000002</v>
      </c>
      <c r="E273" s="47">
        <f t="shared" si="21"/>
        <v>9.8076538352409592E-3</v>
      </c>
      <c r="H273" s="65">
        <v>385.55031155</v>
      </c>
      <c r="I273" s="47">
        <f t="shared" si="22"/>
        <v>9.0581955891160248E-3</v>
      </c>
      <c r="L273" s="65">
        <v>68.520375639999997</v>
      </c>
      <c r="M273" s="47">
        <f t="shared" si="23"/>
        <v>-1.951221511537149E-2</v>
      </c>
      <c r="P273" s="65">
        <v>1072.8243493</v>
      </c>
      <c r="Q273" s="47">
        <f t="shared" si="24"/>
        <v>3.5726019306938639E-3</v>
      </c>
    </row>
    <row r="274" spans="1:17" ht="14.4" x14ac:dyDescent="0.3">
      <c r="A274" s="63">
        <v>44599</v>
      </c>
      <c r="B274" s="64">
        <v>14870.59960938</v>
      </c>
      <c r="C274" s="47">
        <f t="shared" si="20"/>
        <v>-1.4242238922163364E-2</v>
      </c>
      <c r="D274" s="65">
        <v>500.72385184000001</v>
      </c>
      <c r="E274" s="47">
        <f t="shared" si="21"/>
        <v>-9.3314991180660778E-3</v>
      </c>
      <c r="H274" s="65">
        <v>387.30453697000002</v>
      </c>
      <c r="I274" s="47">
        <f t="shared" si="22"/>
        <v>4.5499260860344393E-3</v>
      </c>
      <c r="L274" s="65">
        <v>70.224862389999998</v>
      </c>
      <c r="M274" s="47">
        <f t="shared" si="23"/>
        <v>2.4875618880947581E-2</v>
      </c>
      <c r="P274" s="65">
        <v>1071.4196122400001</v>
      </c>
      <c r="Q274" s="47">
        <f t="shared" si="24"/>
        <v>-1.3093821564699182E-3</v>
      </c>
    </row>
    <row r="275" spans="1:17" ht="14.4" x14ac:dyDescent="0.3">
      <c r="A275" s="63">
        <v>44600</v>
      </c>
      <c r="B275" s="64">
        <v>14857.049804689999</v>
      </c>
      <c r="C275" s="47">
        <f t="shared" si="20"/>
        <v>-9.1118078933782876E-4</v>
      </c>
      <c r="D275" s="65">
        <v>489.84690176999999</v>
      </c>
      <c r="E275" s="47">
        <f t="shared" si="21"/>
        <v>-2.1722452465626874E-2</v>
      </c>
      <c r="H275" s="65">
        <v>379.19715184</v>
      </c>
      <c r="I275" s="47">
        <f t="shared" si="22"/>
        <v>-2.0932843166327264E-2</v>
      </c>
      <c r="L275" s="65">
        <v>77.140208729999998</v>
      </c>
      <c r="M275" s="47">
        <f t="shared" si="23"/>
        <v>9.8474330951266342E-2</v>
      </c>
      <c r="P275" s="65">
        <v>1071.72689866</v>
      </c>
      <c r="Q275" s="47">
        <f t="shared" si="24"/>
        <v>2.8680305688766339E-4</v>
      </c>
    </row>
    <row r="276" spans="1:17" ht="14.4" x14ac:dyDescent="0.3">
      <c r="A276" s="63">
        <v>44601</v>
      </c>
      <c r="B276" s="64">
        <v>15016.34960938</v>
      </c>
      <c r="C276" s="47">
        <f t="shared" si="20"/>
        <v>1.0722169393260872E-2</v>
      </c>
      <c r="D276" s="65">
        <v>487.53676679</v>
      </c>
      <c r="E276" s="47">
        <f t="shared" si="21"/>
        <v>-4.7160346868635461E-3</v>
      </c>
      <c r="H276" s="65">
        <v>388.20533647000002</v>
      </c>
      <c r="I276" s="47">
        <f t="shared" si="22"/>
        <v>2.3755939585223818E-2</v>
      </c>
      <c r="L276" s="65">
        <v>76.458417229999995</v>
      </c>
      <c r="M276" s="47">
        <f t="shared" si="23"/>
        <v>-8.8383413945165579E-3</v>
      </c>
      <c r="P276" s="65">
        <v>1041.8762272900001</v>
      </c>
      <c r="Q276" s="47">
        <f t="shared" si="24"/>
        <v>-2.7852871293351567E-2</v>
      </c>
    </row>
    <row r="277" spans="1:17" ht="14.4" x14ac:dyDescent="0.3">
      <c r="A277" s="63">
        <v>44602</v>
      </c>
      <c r="B277" s="64">
        <v>15112.200195310001</v>
      </c>
      <c r="C277" s="47">
        <f t="shared" si="20"/>
        <v>6.3830816692045378E-3</v>
      </c>
      <c r="D277" s="65">
        <v>497.11425091000001</v>
      </c>
      <c r="E277" s="47">
        <f t="shared" si="21"/>
        <v>1.9644639691605903E-2</v>
      </c>
      <c r="H277" s="65">
        <v>382.51595671000001</v>
      </c>
      <c r="I277" s="47">
        <f t="shared" si="22"/>
        <v>-1.4655593897122232E-2</v>
      </c>
      <c r="L277" s="65">
        <v>75.289628930000006</v>
      </c>
      <c r="M277" s="47">
        <f t="shared" si="23"/>
        <v>-1.528658769490443E-2</v>
      </c>
      <c r="P277" s="65">
        <v>1042.5346974700001</v>
      </c>
      <c r="Q277" s="47">
        <f t="shared" si="24"/>
        <v>6.3200422732823114E-4</v>
      </c>
    </row>
    <row r="278" spans="1:17" ht="14.4" x14ac:dyDescent="0.3">
      <c r="A278" s="63">
        <v>44603</v>
      </c>
      <c r="B278" s="64">
        <v>14891.299804689999</v>
      </c>
      <c r="C278" s="47">
        <f t="shared" si="20"/>
        <v>-1.4617354704482888E-2</v>
      </c>
      <c r="D278" s="65">
        <v>481.52076522999999</v>
      </c>
      <c r="E278" s="47">
        <f t="shared" si="21"/>
        <v>-3.1368011782915373E-2</v>
      </c>
      <c r="H278" s="65">
        <v>371.61131216000001</v>
      </c>
      <c r="I278" s="47">
        <f t="shared" si="22"/>
        <v>-2.8507685388579063E-2</v>
      </c>
      <c r="L278" s="65">
        <v>73.585141190000002</v>
      </c>
      <c r="M278" s="47">
        <f t="shared" si="23"/>
        <v>-2.2639077442986766E-2</v>
      </c>
      <c r="P278" s="65">
        <v>1023.39514955</v>
      </c>
      <c r="Q278" s="47">
        <f t="shared" si="24"/>
        <v>-1.8358667549816299E-2</v>
      </c>
    </row>
    <row r="279" spans="1:17" ht="14.4" x14ac:dyDescent="0.3">
      <c r="A279" s="63">
        <v>44606</v>
      </c>
      <c r="B279" s="64">
        <v>14400.40039063</v>
      </c>
      <c r="C279" s="47">
        <f t="shared" si="20"/>
        <v>-3.2965518154794649E-2</v>
      </c>
      <c r="D279" s="65">
        <v>467.08236147000002</v>
      </c>
      <c r="E279" s="47">
        <f t="shared" si="21"/>
        <v>-2.9985007506588834E-2</v>
      </c>
      <c r="H279" s="65">
        <v>357.53009723999998</v>
      </c>
      <c r="I279" s="47">
        <f t="shared" si="22"/>
        <v>-3.7892320441357485E-2</v>
      </c>
      <c r="L279" s="65">
        <v>69.981363990000006</v>
      </c>
      <c r="M279" s="47">
        <f t="shared" si="23"/>
        <v>-4.8974251346408204E-2</v>
      </c>
      <c r="P279" s="65">
        <v>1007.54795459</v>
      </c>
      <c r="Q279" s="47">
        <f t="shared" si="24"/>
        <v>-1.5484922873601925E-2</v>
      </c>
    </row>
    <row r="280" spans="1:17" ht="14.4" x14ac:dyDescent="0.3">
      <c r="A280" s="63">
        <v>44607</v>
      </c>
      <c r="B280" s="64">
        <v>14805.549804689999</v>
      </c>
      <c r="C280" s="47">
        <f t="shared" si="20"/>
        <v>2.8134593696687693E-2</v>
      </c>
      <c r="D280" s="65">
        <v>466.79360301999998</v>
      </c>
      <c r="E280" s="47">
        <f t="shared" si="21"/>
        <v>-6.182174147858488E-4</v>
      </c>
      <c r="H280" s="65">
        <v>362.4135005</v>
      </c>
      <c r="I280" s="47">
        <f t="shared" si="22"/>
        <v>1.3658719357329874E-2</v>
      </c>
      <c r="L280" s="65">
        <v>70.711858169999999</v>
      </c>
      <c r="M280" s="47">
        <f t="shared" si="23"/>
        <v>1.0438410147369792E-2</v>
      </c>
      <c r="P280" s="65">
        <v>1031.7796766700001</v>
      </c>
      <c r="Q280" s="47">
        <f t="shared" si="24"/>
        <v>2.4050192320484332E-2</v>
      </c>
    </row>
    <row r="281" spans="1:17" ht="14.4" x14ac:dyDescent="0.3">
      <c r="A281" s="63">
        <v>44608</v>
      </c>
      <c r="B281" s="64">
        <v>14789.90039063</v>
      </c>
      <c r="C281" s="47">
        <f t="shared" si="20"/>
        <v>-1.0569964821598443E-3</v>
      </c>
      <c r="D281" s="65">
        <v>463.32838612</v>
      </c>
      <c r="E281" s="47">
        <f t="shared" si="21"/>
        <v>-7.4234455604814675E-3</v>
      </c>
      <c r="H281" s="65">
        <v>372.08542713999998</v>
      </c>
      <c r="I281" s="47">
        <f t="shared" si="22"/>
        <v>2.6687545101537813E-2</v>
      </c>
      <c r="L281" s="65">
        <v>71.442353350000005</v>
      </c>
      <c r="M281" s="47">
        <f t="shared" si="23"/>
        <v>1.0330589506555077E-2</v>
      </c>
      <c r="P281" s="65">
        <v>1032.9210256700001</v>
      </c>
      <c r="Q281" s="47">
        <f t="shared" si="24"/>
        <v>1.1061944965651271E-3</v>
      </c>
    </row>
    <row r="282" spans="1:17" ht="14.4" x14ac:dyDescent="0.3">
      <c r="A282" s="63">
        <v>44609</v>
      </c>
      <c r="B282" s="64">
        <v>14772.049804689999</v>
      </c>
      <c r="C282" s="47">
        <f t="shared" si="20"/>
        <v>-1.2069442976986311E-3</v>
      </c>
      <c r="D282" s="65">
        <v>457.98615747999997</v>
      </c>
      <c r="E282" s="47">
        <f t="shared" si="21"/>
        <v>-1.1530112982579999E-2</v>
      </c>
      <c r="H282" s="65">
        <v>369.33556972999997</v>
      </c>
      <c r="I282" s="47">
        <f t="shared" si="22"/>
        <v>-7.3903926609986126E-3</v>
      </c>
      <c r="L282" s="65">
        <v>68.179479880000002</v>
      </c>
      <c r="M282" s="47">
        <f t="shared" si="23"/>
        <v>-4.5671416421782851E-2</v>
      </c>
      <c r="P282" s="65">
        <v>1042.2274110400001</v>
      </c>
      <c r="Q282" s="47">
        <f t="shared" si="24"/>
        <v>9.0097743571087019E-3</v>
      </c>
    </row>
    <row r="283" spans="1:17" ht="14.4" x14ac:dyDescent="0.3">
      <c r="A283" s="63">
        <v>44610</v>
      </c>
      <c r="B283" s="64">
        <v>14710.700195310001</v>
      </c>
      <c r="C283" s="47">
        <f t="shared" si="20"/>
        <v>-4.1530870929314956E-3</v>
      </c>
      <c r="D283" s="65">
        <v>449.27499683999997</v>
      </c>
      <c r="E283" s="47">
        <f t="shared" si="21"/>
        <v>-1.9020576272287038E-2</v>
      </c>
      <c r="H283" s="65">
        <v>368.90885677</v>
      </c>
      <c r="I283" s="47">
        <f t="shared" si="22"/>
        <v>-1.1553530040767646E-3</v>
      </c>
      <c r="L283" s="65">
        <v>69.299573480000006</v>
      </c>
      <c r="M283" s="47">
        <f t="shared" si="23"/>
        <v>1.6428602887136101E-2</v>
      </c>
      <c r="P283" s="65">
        <v>1039.9008147</v>
      </c>
      <c r="Q283" s="47">
        <f t="shared" si="24"/>
        <v>-2.2323307901473965E-3</v>
      </c>
    </row>
    <row r="284" spans="1:17" ht="14.4" x14ac:dyDescent="0.3">
      <c r="A284" s="63">
        <v>44613</v>
      </c>
      <c r="B284" s="64">
        <v>14597.09960938</v>
      </c>
      <c r="C284" s="47">
        <f t="shared" si="20"/>
        <v>-7.7223099119522187E-3</v>
      </c>
      <c r="D284" s="65">
        <v>452.35519927000001</v>
      </c>
      <c r="E284" s="47">
        <f t="shared" si="21"/>
        <v>6.8559400181733565E-3</v>
      </c>
      <c r="H284" s="65">
        <v>382.46856416999998</v>
      </c>
      <c r="I284" s="47">
        <f t="shared" si="22"/>
        <v>3.6756253343231293E-2</v>
      </c>
      <c r="L284" s="65">
        <v>66.377595769999999</v>
      </c>
      <c r="M284" s="47">
        <f t="shared" si="23"/>
        <v>-4.2164440028527705E-2</v>
      </c>
      <c r="P284" s="65">
        <v>1031.16510382</v>
      </c>
      <c r="Q284" s="47">
        <f t="shared" si="24"/>
        <v>-8.400523161932627E-3</v>
      </c>
    </row>
    <row r="285" spans="1:17" ht="14.4" x14ac:dyDescent="0.3">
      <c r="A285" s="63">
        <v>44614</v>
      </c>
      <c r="B285" s="64">
        <v>14489.049804689999</v>
      </c>
      <c r="C285" s="47">
        <f t="shared" si="20"/>
        <v>-7.4021420406399363E-3</v>
      </c>
      <c r="D285" s="65">
        <v>439.64939434000001</v>
      </c>
      <c r="E285" s="47">
        <f t="shared" si="21"/>
        <v>-2.8088115159291438E-2</v>
      </c>
      <c r="H285" s="65">
        <v>377.63258188999998</v>
      </c>
      <c r="I285" s="47">
        <f t="shared" si="22"/>
        <v>-1.2644130088167227E-2</v>
      </c>
      <c r="L285" s="65">
        <v>64.721803719999997</v>
      </c>
      <c r="M285" s="47">
        <f t="shared" si="23"/>
        <v>-2.4945044043736764E-2</v>
      </c>
      <c r="P285" s="65">
        <v>990.95449375999999</v>
      </c>
      <c r="Q285" s="47">
        <f t="shared" si="24"/>
        <v>-3.8995316958494675E-2</v>
      </c>
    </row>
    <row r="286" spans="1:17" ht="14.4" x14ac:dyDescent="0.3">
      <c r="A286" s="63">
        <v>44615</v>
      </c>
      <c r="B286" s="64">
        <v>14506.950195310001</v>
      </c>
      <c r="C286" s="47">
        <f t="shared" si="20"/>
        <v>1.2354426868079749E-3</v>
      </c>
      <c r="D286" s="65">
        <v>434.40343135000001</v>
      </c>
      <c r="E286" s="47">
        <f t="shared" si="21"/>
        <v>-1.1932151067500563E-2</v>
      </c>
      <c r="H286" s="65">
        <v>380.24021427999998</v>
      </c>
      <c r="I286" s="47">
        <f t="shared" si="22"/>
        <v>6.9052102891893341E-3</v>
      </c>
      <c r="L286" s="65">
        <v>64.624405359999997</v>
      </c>
      <c r="M286" s="47">
        <f t="shared" si="23"/>
        <v>-1.5048770955359281E-3</v>
      </c>
      <c r="P286" s="65">
        <v>952.01692674000003</v>
      </c>
      <c r="Q286" s="47">
        <f t="shared" si="24"/>
        <v>-3.929299202454628E-2</v>
      </c>
    </row>
    <row r="287" spans="1:17" ht="14.4" x14ac:dyDescent="0.3">
      <c r="A287" s="63">
        <v>44616</v>
      </c>
      <c r="B287" s="64">
        <v>13775.700195310001</v>
      </c>
      <c r="C287" s="47">
        <f t="shared" si="20"/>
        <v>-5.0406873267987651E-2</v>
      </c>
      <c r="D287" s="65">
        <v>426.79920536999998</v>
      </c>
      <c r="E287" s="47">
        <f t="shared" si="21"/>
        <v>-1.7504985990484223E-2</v>
      </c>
      <c r="H287" s="65">
        <v>370.52085718000001</v>
      </c>
      <c r="I287" s="47">
        <f t="shared" si="22"/>
        <v>-2.5561097261645349E-2</v>
      </c>
      <c r="L287" s="65">
        <v>56.978565830000001</v>
      </c>
      <c r="M287" s="47">
        <f t="shared" si="23"/>
        <v>-0.11831195176818565</v>
      </c>
      <c r="P287" s="65">
        <v>944.07138008000004</v>
      </c>
      <c r="Q287" s="47">
        <f t="shared" si="24"/>
        <v>-8.3460140642750424E-3</v>
      </c>
    </row>
    <row r="288" spans="1:17" ht="14.4" x14ac:dyDescent="0.3">
      <c r="A288" s="63">
        <v>44617</v>
      </c>
      <c r="B288" s="64">
        <v>14187.40039063</v>
      </c>
      <c r="C288" s="47">
        <f t="shared" si="20"/>
        <v>2.9885972363144608E-2</v>
      </c>
      <c r="D288" s="65">
        <v>440.75632899999999</v>
      </c>
      <c r="E288" s="47">
        <f t="shared" si="21"/>
        <v>3.2701850084046802E-2</v>
      </c>
      <c r="H288" s="65">
        <v>379.33938633999998</v>
      </c>
      <c r="I288" s="47">
        <f t="shared" si="22"/>
        <v>2.3800358304028935E-2</v>
      </c>
      <c r="L288" s="65">
        <v>60.095342250000002</v>
      </c>
      <c r="M288" s="47">
        <f t="shared" si="23"/>
        <v>5.4700857675132442E-2</v>
      </c>
      <c r="P288" s="65">
        <v>986.03791197999999</v>
      </c>
      <c r="Q288" s="47">
        <f t="shared" si="24"/>
        <v>4.445271065885259E-2</v>
      </c>
    </row>
    <row r="289" spans="1:17" ht="14.4" x14ac:dyDescent="0.3">
      <c r="A289" s="63">
        <v>44620</v>
      </c>
      <c r="B289" s="64">
        <v>14307.950195310001</v>
      </c>
      <c r="C289" s="47">
        <f t="shared" si="20"/>
        <v>8.4969621890431668E-3</v>
      </c>
      <c r="D289" s="65">
        <v>448.55307664999998</v>
      </c>
      <c r="E289" s="47">
        <f t="shared" si="21"/>
        <v>1.7689474063116606E-2</v>
      </c>
      <c r="H289" s="65">
        <v>370.85274715000003</v>
      </c>
      <c r="I289" s="47">
        <f t="shared" si="22"/>
        <v>-2.2372154054136173E-2</v>
      </c>
      <c r="L289" s="65">
        <v>60.971932469999999</v>
      </c>
      <c r="M289" s="47">
        <f t="shared" si="23"/>
        <v>1.4586658253036289E-2</v>
      </c>
      <c r="P289" s="65">
        <v>1006.84558606</v>
      </c>
      <c r="Q289" s="47">
        <f t="shared" si="24"/>
        <v>2.1102306338523391E-2</v>
      </c>
    </row>
    <row r="290" spans="1:17" ht="14.4" x14ac:dyDescent="0.3">
      <c r="A290" s="63">
        <v>44622</v>
      </c>
      <c r="B290" s="64">
        <v>14199.799804689999</v>
      </c>
      <c r="C290" s="47">
        <f t="shared" si="20"/>
        <v>-7.5587620269640388E-3</v>
      </c>
      <c r="D290" s="65">
        <v>448.26431819999999</v>
      </c>
      <c r="E290" s="47">
        <f t="shared" si="21"/>
        <v>-6.4375536593475058E-4</v>
      </c>
      <c r="H290" s="65">
        <v>367.10721984000003</v>
      </c>
      <c r="I290" s="47">
        <f t="shared" si="22"/>
        <v>-1.009976962226744E-2</v>
      </c>
      <c r="L290" s="65">
        <v>60.192739619999998</v>
      </c>
      <c r="M290" s="47">
        <f t="shared" si="23"/>
        <v>-1.2779533441610758E-2</v>
      </c>
      <c r="P290" s="65">
        <v>1006.84558606</v>
      </c>
      <c r="Q290" s="47">
        <f t="shared" si="24"/>
        <v>0</v>
      </c>
    </row>
    <row r="291" spans="1:17" ht="14.4" x14ac:dyDescent="0.3">
      <c r="A291" s="63">
        <v>44623</v>
      </c>
      <c r="B291" s="64">
        <v>14135.950195310001</v>
      </c>
      <c r="C291" s="47">
        <f t="shared" si="20"/>
        <v>-4.4965147578285292E-3</v>
      </c>
      <c r="D291" s="65">
        <v>448.16806217999999</v>
      </c>
      <c r="E291" s="47">
        <f t="shared" si="21"/>
        <v>-2.1473049736930871E-4</v>
      </c>
      <c r="H291" s="65">
        <v>363.64618997000002</v>
      </c>
      <c r="I291" s="47">
        <f t="shared" si="22"/>
        <v>-9.4278447356836992E-3</v>
      </c>
      <c r="L291" s="65">
        <v>60.241438299999999</v>
      </c>
      <c r="M291" s="47">
        <f t="shared" si="23"/>
        <v>8.0904574716877953E-4</v>
      </c>
      <c r="P291" s="65">
        <v>974.71221668999999</v>
      </c>
      <c r="Q291" s="47">
        <f t="shared" si="24"/>
        <v>-3.1914893221854035E-2</v>
      </c>
    </row>
    <row r="292" spans="1:17" ht="14.4" x14ac:dyDescent="0.3">
      <c r="A292" s="63">
        <v>44624</v>
      </c>
      <c r="B292" s="64">
        <v>13893.15039063</v>
      </c>
      <c r="C292" s="47">
        <f t="shared" si="20"/>
        <v>-1.7176051225799904E-2</v>
      </c>
      <c r="D292" s="65">
        <v>429.54251170999999</v>
      </c>
      <c r="E292" s="47">
        <f t="shared" si="21"/>
        <v>-4.1559298936654998E-2</v>
      </c>
      <c r="H292" s="65">
        <v>352.69414339999997</v>
      </c>
      <c r="I292" s="47">
        <f t="shared" si="22"/>
        <v>-3.0117314224861191E-2</v>
      </c>
      <c r="L292" s="65">
        <v>59.218747049999998</v>
      </c>
      <c r="M292" s="47">
        <f t="shared" si="23"/>
        <v>-1.6976541046497595E-2</v>
      </c>
      <c r="P292" s="65">
        <v>940.95461952000005</v>
      </c>
      <c r="Q292" s="47">
        <f t="shared" si="24"/>
        <v>-3.4633399060736592E-2</v>
      </c>
    </row>
    <row r="293" spans="1:17" ht="14.4" x14ac:dyDescent="0.3">
      <c r="A293" s="63">
        <v>44627</v>
      </c>
      <c r="B293" s="64">
        <v>13564.25</v>
      </c>
      <c r="C293" s="47">
        <f t="shared" si="20"/>
        <v>-2.3673564409971481E-2</v>
      </c>
      <c r="D293" s="65">
        <v>402.15766295999998</v>
      </c>
      <c r="E293" s="47">
        <f t="shared" si="21"/>
        <v>-6.3753523815329616E-2</v>
      </c>
      <c r="H293" s="65">
        <v>360.89633256000002</v>
      </c>
      <c r="I293" s="47">
        <f t="shared" si="22"/>
        <v>2.325581332576232E-2</v>
      </c>
      <c r="L293" s="65">
        <v>57.319460589999998</v>
      </c>
      <c r="M293" s="47">
        <f t="shared" si="23"/>
        <v>-3.207238509109922E-2</v>
      </c>
      <c r="P293" s="65">
        <v>983.05284545999996</v>
      </c>
      <c r="Q293" s="47">
        <f t="shared" si="24"/>
        <v>4.4739911008115474E-2</v>
      </c>
    </row>
    <row r="294" spans="1:17" ht="14.4" x14ac:dyDescent="0.3">
      <c r="A294" s="63">
        <v>44628</v>
      </c>
      <c r="B294" s="64">
        <v>13706.75</v>
      </c>
      <c r="C294" s="47">
        <f t="shared" si="20"/>
        <v>1.0505556886668987E-2</v>
      </c>
      <c r="D294" s="65">
        <v>401.05071866999998</v>
      </c>
      <c r="E294" s="47">
        <f t="shared" si="21"/>
        <v>-2.7525132353628523E-3</v>
      </c>
      <c r="H294" s="65">
        <v>360.80150008999999</v>
      </c>
      <c r="I294" s="47">
        <f t="shared" si="22"/>
        <v>-2.6276928149238099E-4</v>
      </c>
      <c r="L294" s="65">
        <v>57.757758690000003</v>
      </c>
      <c r="M294" s="47">
        <f t="shared" si="23"/>
        <v>7.6465845192630333E-3</v>
      </c>
      <c r="P294" s="65">
        <v>975.50238091000006</v>
      </c>
      <c r="Q294" s="47">
        <f t="shared" si="24"/>
        <v>-7.6806293627753597E-3</v>
      </c>
    </row>
    <row r="295" spans="1:17" ht="14.4" x14ac:dyDescent="0.3">
      <c r="A295" s="63">
        <v>44629</v>
      </c>
      <c r="B295" s="64">
        <v>13979.59960938</v>
      </c>
      <c r="C295" s="47">
        <f t="shared" si="20"/>
        <v>1.9906222071607083E-2</v>
      </c>
      <c r="D295" s="65">
        <v>406.34480005</v>
      </c>
      <c r="E295" s="47">
        <f t="shared" si="21"/>
        <v>1.3200528346032359E-2</v>
      </c>
      <c r="H295" s="65">
        <v>357.90940819000002</v>
      </c>
      <c r="I295" s="47">
        <f t="shared" si="22"/>
        <v>-8.0157424491820173E-3</v>
      </c>
      <c r="L295" s="65">
        <v>60.046643570000001</v>
      </c>
      <c r="M295" s="47">
        <f t="shared" si="23"/>
        <v>3.9629046069550533E-2</v>
      </c>
      <c r="P295" s="65">
        <v>922.82472554000003</v>
      </c>
      <c r="Q295" s="47">
        <f t="shared" si="24"/>
        <v>-5.4000540030317068E-2</v>
      </c>
    </row>
    <row r="296" spans="1:17" ht="14.4" x14ac:dyDescent="0.3">
      <c r="A296" s="63">
        <v>44630</v>
      </c>
      <c r="B296" s="64">
        <v>14189</v>
      </c>
      <c r="C296" s="47">
        <f t="shared" si="20"/>
        <v>1.4978997716035947E-2</v>
      </c>
      <c r="D296" s="65">
        <v>402.15766295999998</v>
      </c>
      <c r="E296" s="47">
        <f t="shared" si="21"/>
        <v>-1.0304394419430984E-2</v>
      </c>
      <c r="H296" s="65">
        <v>368.52956477999999</v>
      </c>
      <c r="I296" s="47">
        <f t="shared" si="22"/>
        <v>2.9672750553576321E-2</v>
      </c>
      <c r="L296" s="65">
        <v>60.728435079999997</v>
      </c>
      <c r="M296" s="47">
        <f t="shared" si="23"/>
        <v>1.1354365031330804E-2</v>
      </c>
      <c r="P296" s="65">
        <v>885.02850852999995</v>
      </c>
      <c r="Q296" s="47">
        <f t="shared" si="24"/>
        <v>-4.0957091811647417E-2</v>
      </c>
    </row>
    <row r="297" spans="1:17" ht="14.4" x14ac:dyDescent="0.3">
      <c r="A297" s="63">
        <v>44631</v>
      </c>
      <c r="B297" s="64">
        <v>14237.15039063</v>
      </c>
      <c r="C297" s="47">
        <f t="shared" si="20"/>
        <v>3.3935013482275789E-3</v>
      </c>
      <c r="D297" s="65">
        <v>387.95989926999999</v>
      </c>
      <c r="E297" s="47">
        <f t="shared" si="21"/>
        <v>-3.5303974032224628E-2</v>
      </c>
      <c r="H297" s="65">
        <v>362.69796000999997</v>
      </c>
      <c r="I297" s="47">
        <f t="shared" si="22"/>
        <v>-1.5823980834431262E-2</v>
      </c>
      <c r="L297" s="65">
        <v>61.653728970000003</v>
      </c>
      <c r="M297" s="47">
        <f t="shared" si="23"/>
        <v>1.5236583797706649E-2</v>
      </c>
      <c r="P297" s="65">
        <v>900.87570246999996</v>
      </c>
      <c r="Q297" s="47">
        <f t="shared" si="24"/>
        <v>1.7905857028630123E-2</v>
      </c>
    </row>
    <row r="298" spans="1:17" ht="14.4" x14ac:dyDescent="0.3">
      <c r="A298" s="63">
        <v>44634</v>
      </c>
      <c r="B298" s="64">
        <v>14374.59960938</v>
      </c>
      <c r="C298" s="47">
        <f t="shared" si="20"/>
        <v>9.65426472143327E-3</v>
      </c>
      <c r="D298" s="65">
        <v>382.85833957</v>
      </c>
      <c r="E298" s="47">
        <f t="shared" si="21"/>
        <v>-1.3149708796190707E-2</v>
      </c>
      <c r="H298" s="65">
        <v>358.24126970999998</v>
      </c>
      <c r="I298" s="47">
        <f t="shared" si="22"/>
        <v>-1.2287607848351589E-2</v>
      </c>
      <c r="L298" s="65">
        <v>59.949241219999998</v>
      </c>
      <c r="M298" s="47">
        <f t="shared" si="23"/>
        <v>-2.7646142065946844E-2</v>
      </c>
      <c r="P298" s="65">
        <v>879.84853868000005</v>
      </c>
      <c r="Q298" s="47">
        <f t="shared" si="24"/>
        <v>-2.3340804655235026E-2</v>
      </c>
    </row>
    <row r="299" spans="1:17" ht="14.4" x14ac:dyDescent="0.3">
      <c r="A299" s="63">
        <v>44635</v>
      </c>
      <c r="B299" s="64">
        <v>14215.84960938</v>
      </c>
      <c r="C299" s="47">
        <f t="shared" si="20"/>
        <v>-1.1043785866314493E-2</v>
      </c>
      <c r="D299" s="65">
        <v>392.09892760000002</v>
      </c>
      <c r="E299" s="47">
        <f t="shared" si="21"/>
        <v>2.4135788815200954E-2</v>
      </c>
      <c r="H299" s="65">
        <v>354.11648833999999</v>
      </c>
      <c r="I299" s="47">
        <f t="shared" si="22"/>
        <v>-1.1513975967478718E-2</v>
      </c>
      <c r="L299" s="65">
        <v>59.267445729999999</v>
      </c>
      <c r="M299" s="47">
        <f t="shared" si="23"/>
        <v>-1.1372879391383206E-2</v>
      </c>
      <c r="P299" s="65">
        <v>878.26820922000002</v>
      </c>
      <c r="Q299" s="47">
        <f t="shared" si="24"/>
        <v>-1.7961380743678479E-3</v>
      </c>
    </row>
    <row r="300" spans="1:17" ht="14.4" x14ac:dyDescent="0.3">
      <c r="A300" s="63">
        <v>44636</v>
      </c>
      <c r="B300" s="64">
        <v>14481.799804689999</v>
      </c>
      <c r="C300" s="47">
        <f t="shared" si="20"/>
        <v>1.870800568504305E-2</v>
      </c>
      <c r="D300" s="65">
        <v>385.31285858000001</v>
      </c>
      <c r="E300" s="47">
        <f t="shared" si="21"/>
        <v>-1.7307032848921322E-2</v>
      </c>
      <c r="H300" s="65">
        <v>349.04345805000003</v>
      </c>
      <c r="I300" s="47">
        <f t="shared" si="22"/>
        <v>-1.4325879920985662E-2</v>
      </c>
      <c r="L300" s="65">
        <v>59.608346470000001</v>
      </c>
      <c r="M300" s="47">
        <f t="shared" si="23"/>
        <v>5.7519053807888465E-3</v>
      </c>
      <c r="P300" s="65">
        <v>897.89063595000005</v>
      </c>
      <c r="Q300" s="47">
        <f t="shared" si="24"/>
        <v>2.2342180354480767E-2</v>
      </c>
    </row>
    <row r="301" spans="1:17" ht="14.4" x14ac:dyDescent="0.3">
      <c r="A301" s="63">
        <v>44637</v>
      </c>
      <c r="B301" s="64">
        <v>14721.700195310001</v>
      </c>
      <c r="C301" s="47">
        <f t="shared" si="20"/>
        <v>1.6565647492400082E-2</v>
      </c>
      <c r="D301" s="65">
        <v>387.38238237000002</v>
      </c>
      <c r="E301" s="47">
        <f t="shared" si="21"/>
        <v>5.3710218694149603E-3</v>
      </c>
      <c r="H301" s="65">
        <v>353.59494289999998</v>
      </c>
      <c r="I301" s="47">
        <f t="shared" si="22"/>
        <v>1.3039880121024749E-2</v>
      </c>
      <c r="L301" s="65">
        <v>60.192739619999998</v>
      </c>
      <c r="M301" s="47">
        <f t="shared" si="23"/>
        <v>9.803881244954793E-3</v>
      </c>
      <c r="P301" s="65">
        <v>932.65788808000002</v>
      </c>
      <c r="Q301" s="47">
        <f t="shared" si="24"/>
        <v>3.8721032092304819E-2</v>
      </c>
    </row>
    <row r="302" spans="1:17" ht="14.4" x14ac:dyDescent="0.3">
      <c r="A302" s="63">
        <v>44641</v>
      </c>
      <c r="B302" s="64">
        <v>14602.34960938</v>
      </c>
      <c r="C302" s="47">
        <f t="shared" si="20"/>
        <v>-8.107119717600475E-3</v>
      </c>
      <c r="D302" s="65">
        <v>388.00804653</v>
      </c>
      <c r="E302" s="47">
        <f t="shared" si="21"/>
        <v>1.6151074196306681E-3</v>
      </c>
      <c r="H302" s="65">
        <v>353.73717740000001</v>
      </c>
      <c r="I302" s="47">
        <f t="shared" si="22"/>
        <v>4.0225264205839828E-4</v>
      </c>
      <c r="L302" s="65">
        <v>60.144040930000003</v>
      </c>
      <c r="M302" s="47">
        <f t="shared" si="23"/>
        <v>-8.0904591330166475E-4</v>
      </c>
      <c r="P302" s="65">
        <v>920.49812919999999</v>
      </c>
      <c r="Q302" s="47">
        <f t="shared" si="24"/>
        <v>-1.3037748391355519E-2</v>
      </c>
    </row>
    <row r="303" spans="1:17" ht="14.4" x14ac:dyDescent="0.3">
      <c r="A303" s="63">
        <v>44642</v>
      </c>
      <c r="B303" s="64">
        <v>14724.049804689999</v>
      </c>
      <c r="C303" s="47">
        <f t="shared" si="20"/>
        <v>8.3342885607822215E-3</v>
      </c>
      <c r="D303" s="65">
        <v>383.53214136999998</v>
      </c>
      <c r="E303" s="47">
        <f t="shared" si="21"/>
        <v>-1.1535598810459069E-2</v>
      </c>
      <c r="H303" s="65">
        <v>352.36226291999998</v>
      </c>
      <c r="I303" s="47">
        <f t="shared" si="22"/>
        <v>-3.8868249306046598E-3</v>
      </c>
      <c r="L303" s="65">
        <v>60.679736400000003</v>
      </c>
      <c r="M303" s="47">
        <f t="shared" si="23"/>
        <v>8.9068752567438292E-3</v>
      </c>
      <c r="P303" s="65">
        <v>911.36733621999997</v>
      </c>
      <c r="Q303" s="47">
        <f t="shared" si="24"/>
        <v>-9.9194041686272438E-3</v>
      </c>
    </row>
    <row r="304" spans="1:17" ht="14.4" x14ac:dyDescent="0.3">
      <c r="A304" s="63">
        <v>44643</v>
      </c>
      <c r="B304" s="64">
        <v>14695.15039063</v>
      </c>
      <c r="C304" s="47">
        <f t="shared" si="20"/>
        <v>-1.9627354188107571E-3</v>
      </c>
      <c r="D304" s="65">
        <v>375.7835121</v>
      </c>
      <c r="E304" s="47">
        <f t="shared" si="21"/>
        <v>-2.020333743691316E-2</v>
      </c>
      <c r="H304" s="65">
        <v>352.31483244999998</v>
      </c>
      <c r="I304" s="47">
        <f t="shared" si="22"/>
        <v>-1.3460712167912003E-4</v>
      </c>
      <c r="L304" s="65">
        <v>60.387539330000003</v>
      </c>
      <c r="M304" s="47">
        <f t="shared" si="23"/>
        <v>-4.8153978137585041E-3</v>
      </c>
      <c r="P304" s="65">
        <v>933.27246092999997</v>
      </c>
      <c r="Q304" s="47">
        <f t="shared" si="24"/>
        <v>2.4035450733678854E-2</v>
      </c>
    </row>
    <row r="305" spans="1:17" ht="14.4" x14ac:dyDescent="0.3">
      <c r="A305" s="63">
        <v>44644</v>
      </c>
      <c r="B305" s="64">
        <v>14699.34960938</v>
      </c>
      <c r="C305" s="47">
        <f t="shared" si="20"/>
        <v>2.8575541170905439E-4</v>
      </c>
      <c r="D305" s="65">
        <v>380.30756452999998</v>
      </c>
      <c r="E305" s="47">
        <f t="shared" si="21"/>
        <v>1.2038985970188376E-2</v>
      </c>
      <c r="H305" s="65">
        <v>354.44834987000002</v>
      </c>
      <c r="I305" s="47">
        <f t="shared" si="22"/>
        <v>6.0557127418210399E-3</v>
      </c>
      <c r="L305" s="65">
        <v>60.874536110000001</v>
      </c>
      <c r="M305" s="47">
        <f t="shared" si="23"/>
        <v>8.064524327423106E-3</v>
      </c>
      <c r="P305" s="65">
        <v>931.12145697999995</v>
      </c>
      <c r="Q305" s="47">
        <f t="shared" si="24"/>
        <v>-2.3047974091687795E-3</v>
      </c>
    </row>
    <row r="306" spans="1:17" ht="14.4" x14ac:dyDescent="0.3">
      <c r="A306" s="63">
        <v>44645</v>
      </c>
      <c r="B306" s="64">
        <v>14651.700195310001</v>
      </c>
      <c r="C306" s="47">
        <f t="shared" si="20"/>
        <v>-3.2416001616556445E-3</v>
      </c>
      <c r="D306" s="65">
        <v>375.63913768999998</v>
      </c>
      <c r="E306" s="47">
        <f t="shared" si="21"/>
        <v>-1.2275398323379205E-2</v>
      </c>
      <c r="H306" s="65">
        <v>362.27124703999999</v>
      </c>
      <c r="I306" s="47">
        <f t="shared" si="22"/>
        <v>2.2070626574701713E-2</v>
      </c>
      <c r="L306" s="65">
        <v>58.390855510000002</v>
      </c>
      <c r="M306" s="47">
        <f t="shared" si="23"/>
        <v>-4.0799992225189152E-2</v>
      </c>
      <c r="P306" s="65">
        <v>912.72817493000002</v>
      </c>
      <c r="Q306" s="47">
        <f t="shared" si="24"/>
        <v>-1.9753902041584004E-2</v>
      </c>
    </row>
    <row r="307" spans="1:17" ht="14.4" x14ac:dyDescent="0.3">
      <c r="A307" s="63">
        <v>44648</v>
      </c>
      <c r="B307" s="64">
        <v>14675.84960938</v>
      </c>
      <c r="C307" s="47">
        <f t="shared" si="20"/>
        <v>1.6482328841078697E-3</v>
      </c>
      <c r="D307" s="65">
        <v>372.75145694000003</v>
      </c>
      <c r="E307" s="47">
        <f t="shared" si="21"/>
        <v>-7.6873798820799033E-3</v>
      </c>
      <c r="H307" s="65">
        <v>351.12954500000001</v>
      </c>
      <c r="I307" s="47">
        <f t="shared" si="22"/>
        <v>-3.0755137568976854E-2</v>
      </c>
      <c r="L307" s="65">
        <v>56.881168469999999</v>
      </c>
      <c r="M307" s="47">
        <f t="shared" si="23"/>
        <v>-2.5854853928993338E-2</v>
      </c>
      <c r="P307" s="65">
        <v>919.26898452</v>
      </c>
      <c r="Q307" s="47">
        <f t="shared" si="24"/>
        <v>7.166218562828508E-3</v>
      </c>
    </row>
    <row r="308" spans="1:17" ht="14.4" x14ac:dyDescent="0.3">
      <c r="A308" s="63">
        <v>44649</v>
      </c>
      <c r="B308" s="64">
        <v>14761.90039063</v>
      </c>
      <c r="C308" s="47">
        <f t="shared" si="20"/>
        <v>5.8634275725339968E-3</v>
      </c>
      <c r="D308" s="65">
        <v>367.21673550000003</v>
      </c>
      <c r="E308" s="47">
        <f t="shared" si="21"/>
        <v>-1.4848289220478872E-2</v>
      </c>
      <c r="H308" s="65">
        <v>349.13828104999999</v>
      </c>
      <c r="I308" s="47">
        <f t="shared" si="22"/>
        <v>-5.6710236388681778E-3</v>
      </c>
      <c r="L308" s="65">
        <v>55.225379400000001</v>
      </c>
      <c r="M308" s="47">
        <f t="shared" si="23"/>
        <v>-2.9109617726529091E-2</v>
      </c>
      <c r="P308" s="65">
        <v>940.16445427999997</v>
      </c>
      <c r="Q308" s="47">
        <f t="shared" si="24"/>
        <v>2.2730528400140226E-2</v>
      </c>
    </row>
    <row r="309" spans="1:17" ht="14.4" x14ac:dyDescent="0.3">
      <c r="A309" s="63">
        <v>44650</v>
      </c>
      <c r="B309" s="64">
        <v>14896.90039063</v>
      </c>
      <c r="C309" s="47">
        <f t="shared" si="20"/>
        <v>9.1451639983759492E-3</v>
      </c>
      <c r="D309" s="65">
        <v>368.66057587</v>
      </c>
      <c r="E309" s="47">
        <f t="shared" si="21"/>
        <v>3.9318479535908057E-3</v>
      </c>
      <c r="H309" s="65">
        <v>351.41403295999999</v>
      </c>
      <c r="I309" s="47">
        <f t="shared" si="22"/>
        <v>6.518196466900994E-3</v>
      </c>
      <c r="L309" s="65">
        <v>55.127977059999999</v>
      </c>
      <c r="M309" s="47">
        <f t="shared" si="23"/>
        <v>-1.7637242343689907E-3</v>
      </c>
      <c r="P309" s="65">
        <v>941.48139565999998</v>
      </c>
      <c r="Q309" s="47">
        <f t="shared" si="24"/>
        <v>1.4007564038447384E-3</v>
      </c>
    </row>
    <row r="310" spans="1:17" ht="14.4" x14ac:dyDescent="0.3">
      <c r="A310" s="63">
        <v>44651</v>
      </c>
      <c r="B310" s="64">
        <v>14894.5</v>
      </c>
      <c r="C310" s="47">
        <f t="shared" si="20"/>
        <v>-1.611335624899235E-4</v>
      </c>
      <c r="D310" s="65">
        <v>364.76221649000001</v>
      </c>
      <c r="E310" s="47">
        <f t="shared" si="21"/>
        <v>-1.0574386400824864E-2</v>
      </c>
      <c r="H310" s="65">
        <v>347.76333813000002</v>
      </c>
      <c r="I310" s="47">
        <f t="shared" si="22"/>
        <v>-1.0388585792234117E-2</v>
      </c>
      <c r="L310" s="65">
        <v>52.985198189999998</v>
      </c>
      <c r="M310" s="47">
        <f t="shared" si="23"/>
        <v>-3.8869172864221979E-2</v>
      </c>
      <c r="P310" s="65">
        <v>943.54460392999999</v>
      </c>
      <c r="Q310" s="47">
        <f t="shared" si="24"/>
        <v>2.1914487949639128E-3</v>
      </c>
    </row>
    <row r="311" spans="1:17" ht="14.4" x14ac:dyDescent="0.3">
      <c r="A311" s="63">
        <v>44652</v>
      </c>
      <c r="B311" s="64">
        <v>15087.299804689999</v>
      </c>
      <c r="C311" s="47">
        <f t="shared" si="20"/>
        <v>1.2944362327704795E-2</v>
      </c>
      <c r="D311" s="65">
        <v>370.82633643999998</v>
      </c>
      <c r="E311" s="47">
        <f t="shared" si="21"/>
        <v>1.6624857717866703E-2</v>
      </c>
      <c r="H311" s="65">
        <v>356.43963278000001</v>
      </c>
      <c r="I311" s="47">
        <f t="shared" si="22"/>
        <v>2.4948847962681597E-2</v>
      </c>
      <c r="L311" s="65">
        <v>57.12466586</v>
      </c>
      <c r="M311" s="47">
        <f t="shared" si="23"/>
        <v>7.8124982285736833E-2</v>
      </c>
      <c r="P311" s="65">
        <v>947.18814166000004</v>
      </c>
      <c r="Q311" s="47">
        <f t="shared" si="24"/>
        <v>3.8615426497319305E-3</v>
      </c>
    </row>
    <row r="312" spans="1:17" ht="14.4" x14ac:dyDescent="0.3">
      <c r="A312" s="63">
        <v>44655</v>
      </c>
      <c r="B312" s="64">
        <v>15384.200195310001</v>
      </c>
      <c r="C312" s="47">
        <f t="shared" si="20"/>
        <v>1.9678828847008667E-2</v>
      </c>
      <c r="D312" s="65">
        <v>374.05092289999999</v>
      </c>
      <c r="E312" s="47">
        <f t="shared" si="21"/>
        <v>8.6956781197273791E-3</v>
      </c>
      <c r="H312" s="65">
        <v>357.57752770000002</v>
      </c>
      <c r="I312" s="47">
        <f t="shared" si="22"/>
        <v>3.1923916853049406E-3</v>
      </c>
      <c r="L312" s="65">
        <v>59.170048360000003</v>
      </c>
      <c r="M312" s="47">
        <f t="shared" si="23"/>
        <v>3.5805592369026362E-2</v>
      </c>
      <c r="P312" s="65">
        <v>966.23989388999996</v>
      </c>
      <c r="Q312" s="47">
        <f t="shared" si="24"/>
        <v>2.0114010503352153E-2</v>
      </c>
    </row>
    <row r="313" spans="1:17" ht="14.4" x14ac:dyDescent="0.3">
      <c r="A313" s="63">
        <v>44656</v>
      </c>
      <c r="B313" s="64">
        <v>15390.5</v>
      </c>
      <c r="C313" s="47">
        <f t="shared" si="20"/>
        <v>4.0949835610692986E-4</v>
      </c>
      <c r="D313" s="65">
        <v>387.43050075999997</v>
      </c>
      <c r="E313" s="47">
        <f t="shared" si="21"/>
        <v>3.5769402081055501E-2</v>
      </c>
      <c r="H313" s="65">
        <v>367.77099978000001</v>
      </c>
      <c r="I313" s="47">
        <f t="shared" si="22"/>
        <v>2.8507026561669369E-2</v>
      </c>
      <c r="L313" s="65">
        <v>61.312833210000001</v>
      </c>
      <c r="M313" s="47">
        <f t="shared" si="23"/>
        <v>3.6214012146195129E-2</v>
      </c>
      <c r="P313" s="65">
        <v>978.70693919999997</v>
      </c>
      <c r="Q313" s="47">
        <f t="shared" si="24"/>
        <v>1.2902639798703319E-2</v>
      </c>
    </row>
    <row r="314" spans="1:17" ht="14.4" x14ac:dyDescent="0.3">
      <c r="A314" s="63">
        <v>44657</v>
      </c>
      <c r="B314" s="64">
        <v>15327.90039063</v>
      </c>
      <c r="C314" s="47">
        <f t="shared" si="20"/>
        <v>-4.0674188213507545E-3</v>
      </c>
      <c r="D314" s="65">
        <v>390.22191586000002</v>
      </c>
      <c r="E314" s="47">
        <f t="shared" si="21"/>
        <v>7.204944098423649E-3</v>
      </c>
      <c r="H314" s="65">
        <v>382.89524869000002</v>
      </c>
      <c r="I314" s="47">
        <f t="shared" si="22"/>
        <v>4.1124093305473508E-2</v>
      </c>
      <c r="L314" s="65">
        <v>62.4816255</v>
      </c>
      <c r="M314" s="47">
        <f t="shared" si="23"/>
        <v>1.9062767593805541E-2</v>
      </c>
      <c r="P314" s="65">
        <v>969.48834951000003</v>
      </c>
      <c r="Q314" s="47">
        <f t="shared" si="24"/>
        <v>-9.4191522720123988E-3</v>
      </c>
    </row>
    <row r="315" spans="1:17" ht="14.4" x14ac:dyDescent="0.3">
      <c r="A315" s="63">
        <v>44658</v>
      </c>
      <c r="B315" s="64">
        <v>15201.25</v>
      </c>
      <c r="C315" s="47">
        <f t="shared" si="20"/>
        <v>-8.2627357565177029E-3</v>
      </c>
      <c r="D315" s="65">
        <v>383.82089982000002</v>
      </c>
      <c r="E315" s="47">
        <f t="shared" si="21"/>
        <v>-1.640352778724119E-2</v>
      </c>
      <c r="H315" s="65">
        <v>373.46037955000003</v>
      </c>
      <c r="I315" s="47">
        <f t="shared" si="22"/>
        <v>-2.4640862408921271E-2</v>
      </c>
      <c r="L315" s="65">
        <v>63.017315969999999</v>
      </c>
      <c r="M315" s="47">
        <f t="shared" si="23"/>
        <v>8.5735680804270853E-3</v>
      </c>
      <c r="P315" s="65">
        <v>957.67977438000003</v>
      </c>
      <c r="Q315" s="47">
        <f t="shared" si="24"/>
        <v>-1.2180213548691254E-2</v>
      </c>
    </row>
    <row r="316" spans="1:17" ht="14.4" x14ac:dyDescent="0.3">
      <c r="A316" s="63">
        <v>44659</v>
      </c>
      <c r="B316" s="64">
        <v>15342.40039063</v>
      </c>
      <c r="C316" s="47">
        <f t="shared" si="20"/>
        <v>9.2854463040867863E-3</v>
      </c>
      <c r="D316" s="65">
        <v>382.95460522000002</v>
      </c>
      <c r="E316" s="47">
        <f t="shared" si="21"/>
        <v>-2.257028213956791E-3</v>
      </c>
      <c r="H316" s="65">
        <v>377.67998390999998</v>
      </c>
      <c r="I316" s="47">
        <f t="shared" si="22"/>
        <v>1.1298666715554573E-2</v>
      </c>
      <c r="L316" s="65">
        <v>62.773818579999997</v>
      </c>
      <c r="M316" s="47">
        <f t="shared" si="23"/>
        <v>-3.8639758969728488E-3</v>
      </c>
      <c r="P316" s="65">
        <v>959.04061411999999</v>
      </c>
      <c r="Q316" s="47">
        <f t="shared" si="24"/>
        <v>1.420975754532261E-3</v>
      </c>
    </row>
    <row r="317" spans="1:17" ht="14.4" x14ac:dyDescent="0.3">
      <c r="A317" s="63">
        <v>44662</v>
      </c>
      <c r="B317" s="64">
        <v>15325.5</v>
      </c>
      <c r="C317" s="47">
        <f t="shared" si="20"/>
        <v>-1.1015480107220421E-3</v>
      </c>
      <c r="D317" s="65">
        <v>384.59093839000002</v>
      </c>
      <c r="E317" s="47">
        <f t="shared" si="21"/>
        <v>4.272916809708871E-3</v>
      </c>
      <c r="H317" s="65">
        <v>371.80097711000002</v>
      </c>
      <c r="I317" s="47">
        <f t="shared" si="22"/>
        <v>-1.5566106361095677E-2</v>
      </c>
      <c r="L317" s="65">
        <v>63.017315969999999</v>
      </c>
      <c r="M317" s="47">
        <f t="shared" si="23"/>
        <v>3.8789641208409886E-3</v>
      </c>
      <c r="P317" s="65">
        <v>1002.01680098</v>
      </c>
      <c r="Q317" s="47">
        <f t="shared" si="24"/>
        <v>4.481164429040807E-2</v>
      </c>
    </row>
    <row r="318" spans="1:17" ht="14.4" x14ac:dyDescent="0.3">
      <c r="A318" s="63">
        <v>44663</v>
      </c>
      <c r="B318" s="64">
        <v>15164.700195310001</v>
      </c>
      <c r="C318" s="47">
        <f t="shared" si="20"/>
        <v>-1.0492303982904239E-2</v>
      </c>
      <c r="D318" s="65">
        <v>384.73534167999998</v>
      </c>
      <c r="E318" s="47">
        <f t="shared" si="21"/>
        <v>3.7547241909674511E-4</v>
      </c>
      <c r="H318" s="65">
        <v>369.28816771999999</v>
      </c>
      <c r="I318" s="47">
        <f t="shared" si="22"/>
        <v>-6.7584797908064598E-3</v>
      </c>
      <c r="L318" s="65">
        <v>61.312833210000001</v>
      </c>
      <c r="M318" s="47">
        <f t="shared" si="23"/>
        <v>-2.7047847623523524E-2</v>
      </c>
      <c r="P318" s="65">
        <v>1001.84120859</v>
      </c>
      <c r="Q318" s="47">
        <f t="shared" si="24"/>
        <v>-1.7523896787785542E-4</v>
      </c>
    </row>
    <row r="319" spans="1:17" ht="14.4" x14ac:dyDescent="0.3">
      <c r="A319" s="63">
        <v>44664</v>
      </c>
      <c r="B319" s="64">
        <v>15138.549804689999</v>
      </c>
      <c r="C319" s="47">
        <f t="shared" si="20"/>
        <v>-1.7244251639138009E-3</v>
      </c>
      <c r="D319" s="65">
        <v>387.47861913999998</v>
      </c>
      <c r="E319" s="47">
        <f t="shared" si="21"/>
        <v>7.130297539137187E-3</v>
      </c>
      <c r="H319" s="65">
        <v>368.95628722999999</v>
      </c>
      <c r="I319" s="47">
        <f t="shared" si="22"/>
        <v>-8.9870328651209253E-4</v>
      </c>
      <c r="L319" s="65">
        <v>62.286825780000001</v>
      </c>
      <c r="M319" s="47">
        <f t="shared" si="23"/>
        <v>1.5885623270156524E-2</v>
      </c>
      <c r="P319" s="65">
        <v>1000.4364715299999</v>
      </c>
      <c r="Q319" s="47">
        <f t="shared" si="24"/>
        <v>-1.4021553994340019E-3</v>
      </c>
    </row>
    <row r="320" spans="1:17" ht="14.4" x14ac:dyDescent="0.3">
      <c r="A320" s="63">
        <v>44669</v>
      </c>
      <c r="B320" s="64">
        <v>14926.049804689999</v>
      </c>
      <c r="C320" s="47">
        <f t="shared" si="20"/>
        <v>-1.4037011651814035E-2</v>
      </c>
      <c r="D320" s="65">
        <v>384.59093839000002</v>
      </c>
      <c r="E320" s="47">
        <f t="shared" si="21"/>
        <v>-7.452490556534741E-3</v>
      </c>
      <c r="H320" s="65">
        <v>369.99934019</v>
      </c>
      <c r="I320" s="47">
        <f t="shared" si="22"/>
        <v>2.8270366872751307E-3</v>
      </c>
      <c r="L320" s="65">
        <v>62.676420219999997</v>
      </c>
      <c r="M320" s="47">
        <f t="shared" si="23"/>
        <v>6.2548449872219525E-3</v>
      </c>
      <c r="P320" s="65">
        <v>980.50675836999994</v>
      </c>
      <c r="Q320" s="47">
        <f t="shared" si="24"/>
        <v>-1.9921018202705865E-2</v>
      </c>
    </row>
    <row r="321" spans="1:17" ht="14.4" x14ac:dyDescent="0.3">
      <c r="A321" s="63">
        <v>44670</v>
      </c>
      <c r="B321" s="64">
        <v>14726.65039063</v>
      </c>
      <c r="C321" s="47">
        <f t="shared" si="20"/>
        <v>-1.3359155079151863E-2</v>
      </c>
      <c r="D321" s="65">
        <v>384.15780553000002</v>
      </c>
      <c r="E321" s="47">
        <f t="shared" si="21"/>
        <v>-1.1262170185631915E-3</v>
      </c>
      <c r="H321" s="65">
        <v>364.64182195000001</v>
      </c>
      <c r="I321" s="47">
        <f t="shared" si="22"/>
        <v>-1.4479804848432476E-2</v>
      </c>
      <c r="L321" s="65">
        <v>63.21211967</v>
      </c>
      <c r="M321" s="47">
        <f t="shared" si="23"/>
        <v>8.5470651980386059E-3</v>
      </c>
      <c r="P321" s="65">
        <v>965.58142268999995</v>
      </c>
      <c r="Q321" s="47">
        <f t="shared" si="24"/>
        <v>-1.5222063032805599E-2</v>
      </c>
    </row>
    <row r="322" spans="1:17" ht="14.4" x14ac:dyDescent="0.3">
      <c r="A322" s="63">
        <v>44671</v>
      </c>
      <c r="B322" s="64">
        <v>14850.299804689999</v>
      </c>
      <c r="C322" s="47">
        <f t="shared" si="20"/>
        <v>8.3963026744133806E-3</v>
      </c>
      <c r="D322" s="65">
        <v>384.78346006999999</v>
      </c>
      <c r="E322" s="47">
        <f t="shared" si="21"/>
        <v>1.6286394054567666E-3</v>
      </c>
      <c r="H322" s="65">
        <v>359.61621264000001</v>
      </c>
      <c r="I322" s="47">
        <f t="shared" si="22"/>
        <v>-1.3782317352201923E-2</v>
      </c>
      <c r="L322" s="65">
        <v>63.601718099999999</v>
      </c>
      <c r="M322" s="47">
        <f t="shared" si="23"/>
        <v>6.1633501935056678E-3</v>
      </c>
      <c r="P322" s="65">
        <v>943.98358440000004</v>
      </c>
      <c r="Q322" s="47">
        <f t="shared" si="24"/>
        <v>-2.2367702797999933E-2</v>
      </c>
    </row>
    <row r="323" spans="1:17" ht="14.4" x14ac:dyDescent="0.3">
      <c r="A323" s="63">
        <v>44672</v>
      </c>
      <c r="B323" s="64">
        <v>15053.950195310001</v>
      </c>
      <c r="C323" s="47">
        <f t="shared" si="20"/>
        <v>1.3713554157047003E-2</v>
      </c>
      <c r="D323" s="65">
        <v>384.78346006999999</v>
      </c>
      <c r="E323" s="47">
        <f t="shared" si="21"/>
        <v>0</v>
      </c>
      <c r="H323" s="65">
        <v>345.91428022000002</v>
      </c>
      <c r="I323" s="47">
        <f t="shared" si="22"/>
        <v>-3.8101542528941934E-2</v>
      </c>
      <c r="L323" s="65">
        <v>63.942613850000001</v>
      </c>
      <c r="M323" s="47">
        <f t="shared" si="23"/>
        <v>5.3598512773509466E-3</v>
      </c>
      <c r="P323" s="65">
        <v>959.69908429999998</v>
      </c>
      <c r="Q323" s="47">
        <f t="shared" si="24"/>
        <v>1.6648064817767816E-2</v>
      </c>
    </row>
    <row r="324" spans="1:17" ht="14.4" x14ac:dyDescent="0.3">
      <c r="A324" s="63">
        <v>44673</v>
      </c>
      <c r="B324" s="64">
        <v>14894.84960938</v>
      </c>
      <c r="C324" s="47">
        <f t="shared" ref="C324:C387" si="25">B324/B323-1</f>
        <v>-1.0568693523349548E-2</v>
      </c>
      <c r="D324" s="65">
        <v>381.22197752</v>
      </c>
      <c r="E324" s="47">
        <f t="shared" ref="E324:E387" si="26">D324/D323-1</f>
        <v>-9.2558098764227159E-3</v>
      </c>
      <c r="H324" s="65">
        <v>345.34536121000002</v>
      </c>
      <c r="I324" s="47">
        <f t="shared" ref="I324:I387" si="27">H324/H323-1</f>
        <v>-1.6446820571794918E-3</v>
      </c>
      <c r="L324" s="65">
        <v>63.747811149999997</v>
      </c>
      <c r="M324" s="47">
        <f t="shared" ref="M324:M387" si="28">L324/L323-1</f>
        <v>-3.0465238793174754E-3</v>
      </c>
      <c r="P324" s="65">
        <v>957.94316245000005</v>
      </c>
      <c r="Q324" s="47">
        <f t="shared" ref="Q324:Q387" si="29">P324/P323-1</f>
        <v>-1.8296587740110892E-3</v>
      </c>
    </row>
    <row r="325" spans="1:17" ht="14.4" x14ac:dyDescent="0.3">
      <c r="A325" s="63">
        <v>44676</v>
      </c>
      <c r="B325" s="64">
        <v>14673</v>
      </c>
      <c r="C325" s="47">
        <f t="shared" si="25"/>
        <v>-1.4894383978223624E-2</v>
      </c>
      <c r="D325" s="65">
        <v>365.14724059000002</v>
      </c>
      <c r="E325" s="47">
        <f t="shared" si="26"/>
        <v>-4.2166343699732378E-2</v>
      </c>
      <c r="H325" s="65">
        <v>332.11754377</v>
      </c>
      <c r="I325" s="47">
        <f t="shared" si="27"/>
        <v>-3.8303156566670493E-2</v>
      </c>
      <c r="L325" s="65">
        <v>62.335524470000003</v>
      </c>
      <c r="M325" s="47">
        <f t="shared" si="28"/>
        <v>-2.2154277213955686E-2</v>
      </c>
      <c r="P325" s="65">
        <v>957.10909988000003</v>
      </c>
      <c r="Q325" s="47">
        <f t="shared" si="29"/>
        <v>-8.7068064442030746E-4</v>
      </c>
    </row>
    <row r="326" spans="1:17" ht="14.4" x14ac:dyDescent="0.3">
      <c r="A326" s="63">
        <v>44677</v>
      </c>
      <c r="B326" s="64">
        <v>14898.34960938</v>
      </c>
      <c r="C326" s="47">
        <f t="shared" si="25"/>
        <v>1.5358114181149185E-2</v>
      </c>
      <c r="D326" s="65">
        <v>372.41455122999997</v>
      </c>
      <c r="E326" s="47">
        <f t="shared" si="26"/>
        <v>1.9902411499146178E-2</v>
      </c>
      <c r="H326" s="65">
        <v>331.64342878999997</v>
      </c>
      <c r="I326" s="47">
        <f t="shared" si="27"/>
        <v>-1.4275517475473842E-3</v>
      </c>
      <c r="L326" s="65">
        <v>62.725123889999999</v>
      </c>
      <c r="M326" s="47">
        <f t="shared" si="28"/>
        <v>6.2500383739851895E-3</v>
      </c>
      <c r="P326" s="65">
        <v>958.60163365999995</v>
      </c>
      <c r="Q326" s="47">
        <f t="shared" si="29"/>
        <v>1.5594186495426765E-3</v>
      </c>
    </row>
    <row r="327" spans="1:17" ht="14.4" x14ac:dyDescent="0.3">
      <c r="A327" s="63">
        <v>44678</v>
      </c>
      <c r="B327" s="64">
        <v>14756</v>
      </c>
      <c r="C327" s="47">
        <f t="shared" si="25"/>
        <v>-9.5547233829428313E-3</v>
      </c>
      <c r="D327" s="65">
        <v>381.65513924999999</v>
      </c>
      <c r="E327" s="47">
        <f t="shared" si="26"/>
        <v>2.4812639542360682E-2</v>
      </c>
      <c r="H327" s="65">
        <v>347.95299360000001</v>
      </c>
      <c r="I327" s="47">
        <f t="shared" si="27"/>
        <v>4.9178012872154397E-2</v>
      </c>
      <c r="L327" s="65">
        <v>61.994628710000001</v>
      </c>
      <c r="M327" s="47">
        <f t="shared" si="28"/>
        <v>-1.1645974287449068E-2</v>
      </c>
      <c r="P327" s="65">
        <v>948.59287873000005</v>
      </c>
      <c r="Q327" s="47">
        <f t="shared" si="29"/>
        <v>-1.0440995068812686E-2</v>
      </c>
    </row>
    <row r="328" spans="1:17" ht="14.4" x14ac:dyDescent="0.3">
      <c r="A328" s="63">
        <v>44679</v>
      </c>
      <c r="B328" s="64">
        <v>14913.90039063</v>
      </c>
      <c r="C328" s="47">
        <f t="shared" si="25"/>
        <v>1.0700758378286768E-2</v>
      </c>
      <c r="D328" s="65">
        <v>385.07221851999998</v>
      </c>
      <c r="E328" s="47">
        <f t="shared" si="26"/>
        <v>8.9533165378434809E-3</v>
      </c>
      <c r="H328" s="65">
        <v>346.67288315000002</v>
      </c>
      <c r="I328" s="47">
        <f t="shared" si="27"/>
        <v>-3.6789752453504354E-3</v>
      </c>
      <c r="L328" s="65">
        <v>61.020636140000001</v>
      </c>
      <c r="M328" s="47">
        <f t="shared" si="28"/>
        <v>-1.5710918675812535E-2</v>
      </c>
      <c r="P328" s="65">
        <v>965.71311672000002</v>
      </c>
      <c r="Q328" s="47">
        <f t="shared" si="29"/>
        <v>1.8048035541781582E-2</v>
      </c>
    </row>
    <row r="329" spans="1:17" ht="14.4" x14ac:dyDescent="0.3">
      <c r="A329" s="63">
        <v>44680</v>
      </c>
      <c r="B329" s="64">
        <v>14783.34960938</v>
      </c>
      <c r="C329" s="47">
        <f t="shared" si="25"/>
        <v>-8.753631030821496E-3</v>
      </c>
      <c r="D329" s="65">
        <v>382.47332509</v>
      </c>
      <c r="E329" s="47">
        <f t="shared" si="26"/>
        <v>-6.7491065441922515E-3</v>
      </c>
      <c r="H329" s="65">
        <v>341.31538387000001</v>
      </c>
      <c r="I329" s="47">
        <f t="shared" si="27"/>
        <v>-1.5454047721644049E-2</v>
      </c>
      <c r="L329" s="65">
        <v>60.338840650000002</v>
      </c>
      <c r="M329" s="47">
        <f t="shared" si="28"/>
        <v>-1.1173195383210266E-2</v>
      </c>
      <c r="P329" s="65">
        <v>963.73770516000002</v>
      </c>
      <c r="Q329" s="47">
        <f t="shared" si="29"/>
        <v>-2.0455469909215207E-3</v>
      </c>
    </row>
    <row r="330" spans="1:17" ht="14.4" x14ac:dyDescent="0.3">
      <c r="A330" s="63">
        <v>44683</v>
      </c>
      <c r="B330" s="64">
        <v>14736.299804689999</v>
      </c>
      <c r="C330" s="47">
        <f t="shared" si="25"/>
        <v>-3.1826213904965206E-3</v>
      </c>
      <c r="D330" s="65">
        <v>382.71396515999999</v>
      </c>
      <c r="E330" s="47">
        <f t="shared" si="26"/>
        <v>6.2916824315362163E-4</v>
      </c>
      <c r="H330" s="65">
        <v>344.06525076000003</v>
      </c>
      <c r="I330" s="47">
        <f t="shared" si="27"/>
        <v>8.0566743251380135E-3</v>
      </c>
      <c r="L330" s="65">
        <v>59.121349680000002</v>
      </c>
      <c r="M330" s="47">
        <f t="shared" si="28"/>
        <v>-2.0177566504171796E-2</v>
      </c>
      <c r="P330" s="65">
        <v>963.78160350999997</v>
      </c>
      <c r="Q330" s="47">
        <f t="shared" si="29"/>
        <v>4.5550101199554049E-5</v>
      </c>
    </row>
    <row r="331" spans="1:17" ht="14.4" x14ac:dyDescent="0.3">
      <c r="A331" s="63">
        <v>44685</v>
      </c>
      <c r="B331" s="64">
        <v>14393.34960938</v>
      </c>
      <c r="C331" s="47">
        <f t="shared" si="25"/>
        <v>-2.3272476799152231E-2</v>
      </c>
      <c r="D331" s="65">
        <v>360.76757220000002</v>
      </c>
      <c r="E331" s="47">
        <f t="shared" si="26"/>
        <v>-5.7344113248715467E-2</v>
      </c>
      <c r="H331" s="65">
        <v>333.96660168</v>
      </c>
      <c r="I331" s="47">
        <f t="shared" si="27"/>
        <v>-2.9350970659470232E-2</v>
      </c>
      <c r="L331" s="65">
        <v>58.049954769999999</v>
      </c>
      <c r="M331" s="47">
        <f t="shared" si="28"/>
        <v>-1.8121962976133554E-2</v>
      </c>
      <c r="P331" s="65">
        <v>963.86939918999997</v>
      </c>
      <c r="Q331" s="47">
        <f t="shared" si="29"/>
        <v>9.1094994634000059E-5</v>
      </c>
    </row>
    <row r="332" spans="1:17" ht="14.4" x14ac:dyDescent="0.3">
      <c r="A332" s="63">
        <v>44686</v>
      </c>
      <c r="B332" s="64">
        <v>14395.5</v>
      </c>
      <c r="C332" s="47">
        <f t="shared" si="25"/>
        <v>1.4940168052324232E-4</v>
      </c>
      <c r="D332" s="65">
        <v>362.98148001999999</v>
      </c>
      <c r="E332" s="47">
        <f t="shared" si="26"/>
        <v>6.1366596961565101E-3</v>
      </c>
      <c r="H332" s="65">
        <v>330.45814134</v>
      </c>
      <c r="I332" s="47">
        <f t="shared" si="27"/>
        <v>-1.0505422764883976E-2</v>
      </c>
      <c r="L332" s="65">
        <v>57.90385972</v>
      </c>
      <c r="M332" s="47">
        <f t="shared" si="28"/>
        <v>-2.5167125552266745E-3</v>
      </c>
      <c r="P332" s="65">
        <v>963.12313230999996</v>
      </c>
      <c r="Q332" s="47">
        <f t="shared" si="29"/>
        <v>-7.74240660225467E-4</v>
      </c>
    </row>
    <row r="333" spans="1:17" ht="14.4" x14ac:dyDescent="0.3">
      <c r="A333" s="63">
        <v>44687</v>
      </c>
      <c r="B333" s="64">
        <v>14145.75</v>
      </c>
      <c r="C333" s="47">
        <f t="shared" si="25"/>
        <v>-1.7349171616130032E-2</v>
      </c>
      <c r="D333" s="65">
        <v>360.81571946000003</v>
      </c>
      <c r="E333" s="47">
        <f t="shared" si="26"/>
        <v>-5.966586945098773E-3</v>
      </c>
      <c r="H333" s="65">
        <v>325.85921654999999</v>
      </c>
      <c r="I333" s="47">
        <f t="shared" si="27"/>
        <v>-1.3916814914444187E-2</v>
      </c>
      <c r="L333" s="65">
        <v>56.540267729999997</v>
      </c>
      <c r="M333" s="47">
        <f t="shared" si="28"/>
        <v>-2.3549241736108617E-2</v>
      </c>
      <c r="P333" s="65">
        <v>959.26010384000006</v>
      </c>
      <c r="Q333" s="47">
        <f t="shared" si="29"/>
        <v>-4.0109393497118617E-3</v>
      </c>
    </row>
    <row r="334" spans="1:17" ht="14.4" x14ac:dyDescent="0.3">
      <c r="A334" s="63">
        <v>44690</v>
      </c>
      <c r="B334" s="64">
        <v>13991.75</v>
      </c>
      <c r="C334" s="47">
        <f t="shared" si="25"/>
        <v>-1.0886662071647013E-2</v>
      </c>
      <c r="D334" s="65">
        <v>353.11523746</v>
      </c>
      <c r="E334" s="47">
        <f t="shared" si="26"/>
        <v>-2.1341869504811539E-2</v>
      </c>
      <c r="H334" s="65">
        <v>324.15242158000001</v>
      </c>
      <c r="I334" s="47">
        <f t="shared" si="27"/>
        <v>-5.2378293548682731E-3</v>
      </c>
      <c r="L334" s="65">
        <v>55.127977059999999</v>
      </c>
      <c r="M334" s="47">
        <f t="shared" si="28"/>
        <v>-2.4978492792856799E-2</v>
      </c>
      <c r="P334" s="65">
        <v>887.75018697999997</v>
      </c>
      <c r="Q334" s="47">
        <f t="shared" si="29"/>
        <v>-7.4546951941126038E-2</v>
      </c>
    </row>
    <row r="335" spans="1:17" ht="14.4" x14ac:dyDescent="0.3">
      <c r="A335" s="63">
        <v>44691</v>
      </c>
      <c r="B335" s="64">
        <v>13855.950195310001</v>
      </c>
      <c r="C335" s="47">
        <f t="shared" si="25"/>
        <v>-9.7057054828737499E-3</v>
      </c>
      <c r="D335" s="65">
        <v>352.87459739000002</v>
      </c>
      <c r="E335" s="47">
        <f t="shared" si="26"/>
        <v>-6.8147744552438105E-4</v>
      </c>
      <c r="H335" s="65">
        <v>322.96713412999998</v>
      </c>
      <c r="I335" s="47">
        <f t="shared" si="27"/>
        <v>-3.6565744109596787E-3</v>
      </c>
      <c r="L335" s="65">
        <v>55.17668072</v>
      </c>
      <c r="M335" s="47">
        <f t="shared" si="28"/>
        <v>8.834653944764792E-4</v>
      </c>
      <c r="P335" s="65">
        <v>857.98731232</v>
      </c>
      <c r="Q335" s="47">
        <f t="shared" si="29"/>
        <v>-3.35261823613342E-2</v>
      </c>
    </row>
    <row r="336" spans="1:17" ht="14.4" x14ac:dyDescent="0.3">
      <c r="A336" s="63">
        <v>44692</v>
      </c>
      <c r="B336" s="64">
        <v>13771.799804689999</v>
      </c>
      <c r="C336" s="47">
        <f t="shared" si="25"/>
        <v>-6.0732313146221184E-3</v>
      </c>
      <c r="D336" s="65">
        <v>342.76771477</v>
      </c>
      <c r="E336" s="47">
        <f t="shared" si="26"/>
        <v>-2.8641570390032345E-2</v>
      </c>
      <c r="H336" s="65">
        <v>323.63087614</v>
      </c>
      <c r="I336" s="47">
        <f t="shared" si="27"/>
        <v>2.0551379377595769E-3</v>
      </c>
      <c r="L336" s="65">
        <v>54.787082300000002</v>
      </c>
      <c r="M336" s="47">
        <f t="shared" si="28"/>
        <v>-7.0609252843072401E-3</v>
      </c>
      <c r="P336" s="65">
        <v>812.33334433000005</v>
      </c>
      <c r="Q336" s="47">
        <f t="shared" si="29"/>
        <v>-5.3210539753264507E-2</v>
      </c>
    </row>
    <row r="337" spans="1:17" ht="14.4" x14ac:dyDescent="0.3">
      <c r="A337" s="63">
        <v>44693</v>
      </c>
      <c r="B337" s="64">
        <v>13465.25</v>
      </c>
      <c r="C337" s="47">
        <f t="shared" si="25"/>
        <v>-2.225924055224815E-2</v>
      </c>
      <c r="D337" s="65">
        <v>336.02979300999999</v>
      </c>
      <c r="E337" s="47">
        <f t="shared" si="26"/>
        <v>-1.9657399077159909E-2</v>
      </c>
      <c r="H337" s="65">
        <v>324.38947906999999</v>
      </c>
      <c r="I337" s="47">
        <f t="shared" si="27"/>
        <v>2.3440375623240417E-3</v>
      </c>
      <c r="L337" s="65">
        <v>59.023947339999999</v>
      </c>
      <c r="M337" s="47">
        <f t="shared" si="28"/>
        <v>7.7333284820681136E-2</v>
      </c>
      <c r="P337" s="65">
        <v>804.91456560999995</v>
      </c>
      <c r="Q337" s="47">
        <f t="shared" si="29"/>
        <v>-9.1326778246668683E-3</v>
      </c>
    </row>
    <row r="338" spans="1:17" ht="14.4" x14ac:dyDescent="0.3">
      <c r="A338" s="63">
        <v>44694</v>
      </c>
      <c r="B338" s="64">
        <v>13471.5</v>
      </c>
      <c r="C338" s="47">
        <f t="shared" si="25"/>
        <v>4.6415773936625548E-4</v>
      </c>
      <c r="D338" s="65">
        <v>352.00829317</v>
      </c>
      <c r="E338" s="47">
        <f t="shared" si="26"/>
        <v>4.7550843682258037E-2</v>
      </c>
      <c r="H338" s="65">
        <v>330.17368183000002</v>
      </c>
      <c r="I338" s="47">
        <f t="shared" si="27"/>
        <v>1.7831043030689164E-2</v>
      </c>
      <c r="L338" s="65">
        <v>57.319460589999998</v>
      </c>
      <c r="M338" s="47">
        <f t="shared" si="28"/>
        <v>-2.8877884770761253E-2</v>
      </c>
      <c r="P338" s="65">
        <v>795.12532706000002</v>
      </c>
      <c r="Q338" s="47">
        <f t="shared" si="29"/>
        <v>-1.2161835514283736E-2</v>
      </c>
    </row>
    <row r="339" spans="1:17" ht="14.4" x14ac:dyDescent="0.3">
      <c r="A339" s="63">
        <v>44697</v>
      </c>
      <c r="B339" s="64">
        <v>13571.200195310001</v>
      </c>
      <c r="C339" s="47">
        <f t="shared" si="25"/>
        <v>7.4008236135545413E-3</v>
      </c>
      <c r="D339" s="65">
        <v>357.35049292999997</v>
      </c>
      <c r="E339" s="47">
        <f t="shared" si="26"/>
        <v>1.5176346306761568E-2</v>
      </c>
      <c r="H339" s="65">
        <v>324.62653655999998</v>
      </c>
      <c r="I339" s="47">
        <f t="shared" si="27"/>
        <v>-1.6800688774631478E-2</v>
      </c>
      <c r="L339" s="65">
        <v>56.783766120000003</v>
      </c>
      <c r="M339" s="47">
        <f t="shared" si="28"/>
        <v>-9.3457695603900159E-3</v>
      </c>
      <c r="P339" s="65">
        <v>803.50984495</v>
      </c>
      <c r="Q339" s="47">
        <f t="shared" si="29"/>
        <v>1.0544901042206734E-2</v>
      </c>
    </row>
    <row r="340" spans="1:17" ht="14.4" x14ac:dyDescent="0.3">
      <c r="A340" s="63">
        <v>44698</v>
      </c>
      <c r="B340" s="64">
        <v>13926.049804689999</v>
      </c>
      <c r="C340" s="47">
        <f t="shared" si="25"/>
        <v>2.6147253321237462E-2</v>
      </c>
      <c r="D340" s="65">
        <v>359.70877517000002</v>
      </c>
      <c r="E340" s="47">
        <f t="shared" si="26"/>
        <v>6.5993535384936131E-3</v>
      </c>
      <c r="H340" s="65">
        <v>329.17802140999999</v>
      </c>
      <c r="I340" s="47">
        <f t="shared" si="27"/>
        <v>1.4020680189090973E-2</v>
      </c>
      <c r="L340" s="65">
        <v>58.87785229</v>
      </c>
      <c r="M340" s="47">
        <f t="shared" si="28"/>
        <v>3.6878254351333517E-2</v>
      </c>
      <c r="P340" s="65">
        <v>876.86347216000001</v>
      </c>
      <c r="Q340" s="47">
        <f t="shared" si="29"/>
        <v>9.1291510204911885E-2</v>
      </c>
    </row>
    <row r="341" spans="1:17" ht="14.4" x14ac:dyDescent="0.3">
      <c r="A341" s="63">
        <v>44699</v>
      </c>
      <c r="B341" s="64">
        <v>13918.200195310001</v>
      </c>
      <c r="C341" s="47">
        <f t="shared" si="25"/>
        <v>-5.6366374457139656E-4</v>
      </c>
      <c r="D341" s="65">
        <v>358.21678752999998</v>
      </c>
      <c r="E341" s="47">
        <f t="shared" si="26"/>
        <v>-4.1477654786011842E-3</v>
      </c>
      <c r="H341" s="65">
        <v>347.95299360000001</v>
      </c>
      <c r="I341" s="47">
        <f t="shared" si="27"/>
        <v>5.7035922719200327E-2</v>
      </c>
      <c r="L341" s="65">
        <v>59.705743830000003</v>
      </c>
      <c r="M341" s="47">
        <f t="shared" si="28"/>
        <v>1.406117084438252E-2</v>
      </c>
      <c r="P341" s="65">
        <v>840.91096344000005</v>
      </c>
      <c r="Q341" s="47">
        <f t="shared" si="29"/>
        <v>-4.1001261725998495E-2</v>
      </c>
    </row>
    <row r="342" spans="1:17" ht="14.4" x14ac:dyDescent="0.3">
      <c r="A342" s="63">
        <v>44700</v>
      </c>
      <c r="B342" s="64">
        <v>13550.90039063</v>
      </c>
      <c r="C342" s="47">
        <f t="shared" si="25"/>
        <v>-2.6389892337068788E-2</v>
      </c>
      <c r="D342" s="65">
        <v>358.45742760000002</v>
      </c>
      <c r="E342" s="47">
        <f t="shared" si="26"/>
        <v>6.7177217365865793E-4</v>
      </c>
      <c r="H342" s="65">
        <v>341.36278589</v>
      </c>
      <c r="I342" s="47">
        <f t="shared" si="27"/>
        <v>-1.8939936805303037E-2</v>
      </c>
      <c r="L342" s="65">
        <v>56.881168469999999</v>
      </c>
      <c r="M342" s="47">
        <f t="shared" si="28"/>
        <v>-4.7308268498294059E-2</v>
      </c>
      <c r="P342" s="65">
        <v>821.37633240000002</v>
      </c>
      <c r="Q342" s="47">
        <f t="shared" si="29"/>
        <v>-2.3230320318440967E-2</v>
      </c>
    </row>
    <row r="343" spans="1:17" ht="14.4" x14ac:dyDescent="0.3">
      <c r="A343" s="63">
        <v>44701</v>
      </c>
      <c r="B343" s="64">
        <v>13895.049804689999</v>
      </c>
      <c r="C343" s="47">
        <f t="shared" si="25"/>
        <v>2.5396793138407814E-2</v>
      </c>
      <c r="D343" s="65">
        <v>365.67662947000002</v>
      </c>
      <c r="E343" s="47">
        <f t="shared" si="26"/>
        <v>2.0139635321089866E-2</v>
      </c>
      <c r="H343" s="65">
        <v>343.30664782999997</v>
      </c>
      <c r="I343" s="47">
        <f t="shared" si="27"/>
        <v>5.6944166744243851E-3</v>
      </c>
      <c r="L343" s="65">
        <v>57.660361330000001</v>
      </c>
      <c r="M343" s="47">
        <f t="shared" si="28"/>
        <v>1.3698608537040968E-2</v>
      </c>
      <c r="P343" s="65">
        <v>831.82408523000004</v>
      </c>
      <c r="Q343" s="47">
        <f t="shared" si="29"/>
        <v>1.2719812365998395E-2</v>
      </c>
    </row>
    <row r="344" spans="1:17" ht="14.4" x14ac:dyDescent="0.3">
      <c r="A344" s="63">
        <v>44704</v>
      </c>
      <c r="B344" s="64">
        <v>13835.799804689999</v>
      </c>
      <c r="C344" s="47">
        <f t="shared" si="25"/>
        <v>-4.2641085014319957E-3</v>
      </c>
      <c r="D344" s="65">
        <v>368.80495029000002</v>
      </c>
      <c r="E344" s="47">
        <f t="shared" si="26"/>
        <v>8.5548831067878695E-3</v>
      </c>
      <c r="H344" s="65">
        <v>341.78949884999997</v>
      </c>
      <c r="I344" s="47">
        <f t="shared" si="27"/>
        <v>-4.4192240074281131E-3</v>
      </c>
      <c r="L344" s="65">
        <v>56.92986715</v>
      </c>
      <c r="M344" s="47">
        <f t="shared" si="28"/>
        <v>-1.2668914365958628E-2</v>
      </c>
      <c r="P344" s="65">
        <v>824.01021517000004</v>
      </c>
      <c r="Q344" s="47">
        <f t="shared" si="29"/>
        <v>-9.3936569026363825E-3</v>
      </c>
    </row>
    <row r="345" spans="1:17" ht="14.4" x14ac:dyDescent="0.3">
      <c r="A345" s="63">
        <v>44705</v>
      </c>
      <c r="B345" s="64">
        <v>13747.25</v>
      </c>
      <c r="C345" s="47">
        <f t="shared" si="25"/>
        <v>-6.4000495771833199E-3</v>
      </c>
      <c r="D345" s="65">
        <v>366.68733699000001</v>
      </c>
      <c r="E345" s="47">
        <f t="shared" si="26"/>
        <v>-5.7418245019078551E-3</v>
      </c>
      <c r="H345" s="65">
        <v>341.59984337999998</v>
      </c>
      <c r="I345" s="47">
        <f t="shared" si="27"/>
        <v>-5.5488969274397615E-4</v>
      </c>
      <c r="L345" s="65">
        <v>56.345468019999998</v>
      </c>
      <c r="M345" s="47">
        <f t="shared" si="28"/>
        <v>-1.02652466843145E-2</v>
      </c>
      <c r="P345" s="65">
        <v>870.45436583000003</v>
      </c>
      <c r="Q345" s="47">
        <f t="shared" si="29"/>
        <v>5.6363561767760695E-2</v>
      </c>
    </row>
    <row r="346" spans="1:17" ht="14.4" x14ac:dyDescent="0.3">
      <c r="A346" s="63">
        <v>44706</v>
      </c>
      <c r="B346" s="64">
        <v>13587.75</v>
      </c>
      <c r="C346" s="47">
        <f t="shared" si="25"/>
        <v>-1.1602320464092819E-2</v>
      </c>
      <c r="D346" s="65">
        <v>361.29699958999998</v>
      </c>
      <c r="E346" s="47">
        <f t="shared" si="26"/>
        <v>-1.4700091484607269E-2</v>
      </c>
      <c r="H346" s="65">
        <v>336.62163608999998</v>
      </c>
      <c r="I346" s="47">
        <f t="shared" si="27"/>
        <v>-1.4573213034123622E-2</v>
      </c>
      <c r="L346" s="65">
        <v>54.640981269999997</v>
      </c>
      <c r="M346" s="47">
        <f t="shared" si="28"/>
        <v>-3.0250644992335318E-2</v>
      </c>
      <c r="P346" s="65">
        <v>865.88896062000003</v>
      </c>
      <c r="Q346" s="47">
        <f t="shared" si="29"/>
        <v>-5.2448530206943289E-3</v>
      </c>
    </row>
    <row r="347" spans="1:17" ht="14.4" x14ac:dyDescent="0.3">
      <c r="A347" s="63">
        <v>44707</v>
      </c>
      <c r="B347" s="64">
        <v>13722.549804689999</v>
      </c>
      <c r="C347" s="47">
        <f t="shared" si="25"/>
        <v>9.9206862571066257E-3</v>
      </c>
      <c r="D347" s="65">
        <v>365.09909332000001</v>
      </c>
      <c r="E347" s="47">
        <f t="shared" si="26"/>
        <v>1.0523457804284764E-2</v>
      </c>
      <c r="H347" s="65">
        <v>332.30719925</v>
      </c>
      <c r="I347" s="47">
        <f t="shared" si="27"/>
        <v>-1.2816873241167648E-2</v>
      </c>
      <c r="L347" s="65">
        <v>54.592282590000003</v>
      </c>
      <c r="M347" s="47">
        <f t="shared" si="28"/>
        <v>-8.9124826948761005E-4</v>
      </c>
      <c r="P347" s="65">
        <v>866.72303138999996</v>
      </c>
      <c r="Q347" s="47">
        <f t="shared" si="29"/>
        <v>9.6325372874916937E-4</v>
      </c>
    </row>
    <row r="348" spans="1:17" ht="14.4" x14ac:dyDescent="0.3">
      <c r="A348" s="63">
        <v>44708</v>
      </c>
      <c r="B348" s="64">
        <v>13873.15039063</v>
      </c>
      <c r="C348" s="47">
        <f t="shared" si="25"/>
        <v>1.0974679493495509E-2</v>
      </c>
      <c r="D348" s="65">
        <v>368.13117735999998</v>
      </c>
      <c r="E348" s="47">
        <f t="shared" si="26"/>
        <v>8.3048248967916294E-3</v>
      </c>
      <c r="H348" s="65">
        <v>335.05706613000001</v>
      </c>
      <c r="I348" s="47">
        <f t="shared" si="27"/>
        <v>8.2750746484165916E-3</v>
      </c>
      <c r="L348" s="65">
        <v>58.390855510000002</v>
      </c>
      <c r="M348" s="47">
        <f t="shared" si="28"/>
        <v>6.9580767459901161E-2</v>
      </c>
      <c r="P348" s="65">
        <v>866.63520903999995</v>
      </c>
      <c r="Q348" s="47">
        <f t="shared" si="29"/>
        <v>-1.0132689085140534E-4</v>
      </c>
    </row>
    <row r="349" spans="1:17" ht="14.4" x14ac:dyDescent="0.3">
      <c r="A349" s="63">
        <v>44711</v>
      </c>
      <c r="B349" s="64">
        <v>14154.799804689999</v>
      </c>
      <c r="C349" s="47">
        <f t="shared" si="25"/>
        <v>2.0301763199383149E-2</v>
      </c>
      <c r="D349" s="65">
        <v>371.01885811</v>
      </c>
      <c r="E349" s="47">
        <f t="shared" si="26"/>
        <v>7.8441624279383948E-3</v>
      </c>
      <c r="H349" s="65">
        <v>340.17749844000002</v>
      </c>
      <c r="I349" s="47">
        <f t="shared" si="27"/>
        <v>1.5282269283684702E-2</v>
      </c>
      <c r="L349" s="65">
        <v>58.244754479999997</v>
      </c>
      <c r="M349" s="47">
        <f t="shared" si="28"/>
        <v>-2.502121757318343E-3</v>
      </c>
      <c r="P349" s="65">
        <v>864.52812908999999</v>
      </c>
      <c r="Q349" s="47">
        <f t="shared" si="29"/>
        <v>-2.4313343469324344E-3</v>
      </c>
    </row>
    <row r="350" spans="1:17" ht="14.4" x14ac:dyDescent="0.3">
      <c r="A350" s="63">
        <v>44712</v>
      </c>
      <c r="B350" s="64">
        <v>14119.59960938</v>
      </c>
      <c r="C350" s="47">
        <f t="shared" si="25"/>
        <v>-2.4868027662486858E-3</v>
      </c>
      <c r="D350" s="65">
        <v>381.27012478</v>
      </c>
      <c r="E350" s="47">
        <f t="shared" si="26"/>
        <v>2.7630042101419727E-2</v>
      </c>
      <c r="H350" s="65">
        <v>341.88430289000001</v>
      </c>
      <c r="I350" s="47">
        <f t="shared" si="27"/>
        <v>5.0173937365849408E-3</v>
      </c>
      <c r="L350" s="65">
        <v>58.293453159999999</v>
      </c>
      <c r="M350" s="47">
        <f t="shared" si="28"/>
        <v>8.3610413392198879E-4</v>
      </c>
      <c r="P350" s="65">
        <v>869.31302503999996</v>
      </c>
      <c r="Q350" s="47">
        <f t="shared" si="29"/>
        <v>5.5346908781748194E-3</v>
      </c>
    </row>
    <row r="351" spans="1:17" ht="14.4" x14ac:dyDescent="0.3">
      <c r="A351" s="63">
        <v>44713</v>
      </c>
      <c r="B351" s="64">
        <v>14082.90039063</v>
      </c>
      <c r="C351" s="47">
        <f t="shared" si="25"/>
        <v>-2.5991685150632549E-3</v>
      </c>
      <c r="D351" s="65">
        <v>388.68181945999999</v>
      </c>
      <c r="E351" s="47">
        <f t="shared" si="26"/>
        <v>1.9439484497445703E-2</v>
      </c>
      <c r="H351" s="65">
        <v>343.68595878000002</v>
      </c>
      <c r="I351" s="47">
        <f t="shared" si="27"/>
        <v>5.2697824227971868E-3</v>
      </c>
      <c r="L351" s="65">
        <v>57.757758690000003</v>
      </c>
      <c r="M351" s="47">
        <f t="shared" si="28"/>
        <v>-9.1896163455895685E-3</v>
      </c>
      <c r="P351" s="65">
        <v>860.35781522000002</v>
      </c>
      <c r="Q351" s="47">
        <f t="shared" si="29"/>
        <v>-1.0301478940325182E-2</v>
      </c>
    </row>
    <row r="352" spans="1:17" ht="14.4" x14ac:dyDescent="0.3">
      <c r="A352" s="63">
        <v>44714</v>
      </c>
      <c r="B352" s="64">
        <v>14167.950195310001</v>
      </c>
      <c r="C352" s="47">
        <f t="shared" si="25"/>
        <v>6.0392250403609182E-3</v>
      </c>
      <c r="D352" s="65">
        <v>384.49470162</v>
      </c>
      <c r="E352" s="47">
        <f t="shared" si="26"/>
        <v>-1.0772610475625499E-2</v>
      </c>
      <c r="H352" s="65">
        <v>344.30230825000001</v>
      </c>
      <c r="I352" s="47">
        <f t="shared" si="27"/>
        <v>1.7933507443477215E-3</v>
      </c>
      <c r="L352" s="65">
        <v>61.50763293</v>
      </c>
      <c r="M352" s="47">
        <f t="shared" si="28"/>
        <v>6.4924164736489987E-2</v>
      </c>
      <c r="P352" s="65">
        <v>884.15054760999999</v>
      </c>
      <c r="Q352" s="47">
        <f t="shared" si="29"/>
        <v>2.7654461863539925E-2</v>
      </c>
    </row>
    <row r="353" spans="1:17" ht="14.4" x14ac:dyDescent="0.3">
      <c r="A353" s="63">
        <v>44715</v>
      </c>
      <c r="B353" s="64">
        <v>14077.90039063</v>
      </c>
      <c r="C353" s="47">
        <f t="shared" si="25"/>
        <v>-6.3558809452767262E-3</v>
      </c>
      <c r="D353" s="65">
        <v>373.90653886000001</v>
      </c>
      <c r="E353" s="47">
        <f t="shared" si="26"/>
        <v>-2.7537863890942149E-2</v>
      </c>
      <c r="H353" s="65">
        <v>342.40584833000003</v>
      </c>
      <c r="I353" s="47">
        <f t="shared" si="27"/>
        <v>-5.5081243272494529E-3</v>
      </c>
      <c r="L353" s="65">
        <v>58.439554190000003</v>
      </c>
      <c r="M353" s="47">
        <f t="shared" si="28"/>
        <v>-4.9881268288956671E-2</v>
      </c>
      <c r="P353" s="65">
        <v>868.91793370000005</v>
      </c>
      <c r="Q353" s="47">
        <f t="shared" si="29"/>
        <v>-1.7228529633529166E-2</v>
      </c>
    </row>
    <row r="354" spans="1:17" ht="14.4" x14ac:dyDescent="0.3">
      <c r="A354" s="63">
        <v>44718</v>
      </c>
      <c r="B354" s="64">
        <v>14054.09960938</v>
      </c>
      <c r="C354" s="47">
        <f t="shared" si="25"/>
        <v>-1.690648505074055E-3</v>
      </c>
      <c r="D354" s="65">
        <v>379.68190036999999</v>
      </c>
      <c r="E354" s="47">
        <f t="shared" si="26"/>
        <v>1.5446002970711303E-2</v>
      </c>
      <c r="H354" s="65">
        <v>345.62982070999999</v>
      </c>
      <c r="I354" s="47">
        <f t="shared" si="27"/>
        <v>9.4156463615446828E-3</v>
      </c>
      <c r="L354" s="65">
        <v>57.757758690000003</v>
      </c>
      <c r="M354" s="47">
        <f t="shared" si="28"/>
        <v>-1.1666678663963315E-2</v>
      </c>
      <c r="P354" s="65">
        <v>845.52025776999994</v>
      </c>
      <c r="Q354" s="47">
        <f t="shared" si="29"/>
        <v>-2.6927371415121804E-2</v>
      </c>
    </row>
    <row r="355" spans="1:17" ht="14.4" x14ac:dyDescent="0.3">
      <c r="A355" s="63">
        <v>44719</v>
      </c>
      <c r="B355" s="64">
        <v>13935.59960938</v>
      </c>
      <c r="C355" s="47">
        <f t="shared" si="25"/>
        <v>-8.4317034383981637E-3</v>
      </c>
      <c r="D355" s="65">
        <v>381.17385912999998</v>
      </c>
      <c r="E355" s="47">
        <f t="shared" si="26"/>
        <v>3.9294966616687521E-3</v>
      </c>
      <c r="H355" s="65">
        <v>345.01348072000002</v>
      </c>
      <c r="I355" s="47">
        <f t="shared" si="27"/>
        <v>-1.7832373049694317E-3</v>
      </c>
      <c r="L355" s="65">
        <v>58.926550970000001</v>
      </c>
      <c r="M355" s="47">
        <f t="shared" si="28"/>
        <v>2.023610864599501E-2</v>
      </c>
      <c r="P355" s="65">
        <v>842.27179394999996</v>
      </c>
      <c r="Q355" s="47">
        <f t="shared" si="29"/>
        <v>-3.8419704201618776E-3</v>
      </c>
    </row>
    <row r="356" spans="1:17" ht="14.4" x14ac:dyDescent="0.3">
      <c r="A356" s="63">
        <v>44720</v>
      </c>
      <c r="B356" s="64">
        <v>13886.90039063</v>
      </c>
      <c r="C356" s="47">
        <f t="shared" si="25"/>
        <v>-3.4945908403697379E-3</v>
      </c>
      <c r="D356" s="65">
        <v>373.81028284000001</v>
      </c>
      <c r="E356" s="47">
        <f t="shared" si="26"/>
        <v>-1.9318156567207367E-2</v>
      </c>
      <c r="H356" s="65">
        <v>351.98297093000002</v>
      </c>
      <c r="I356" s="47">
        <f t="shared" si="27"/>
        <v>2.0200631567947935E-2</v>
      </c>
      <c r="L356" s="65">
        <v>59.364848080000002</v>
      </c>
      <c r="M356" s="47">
        <f t="shared" si="28"/>
        <v>7.4380241637277411E-3</v>
      </c>
      <c r="P356" s="65">
        <v>864.87928720000002</v>
      </c>
      <c r="Q356" s="47">
        <f t="shared" si="29"/>
        <v>2.6841090266097822E-2</v>
      </c>
    </row>
    <row r="357" spans="1:17" ht="14.4" x14ac:dyDescent="0.3">
      <c r="A357" s="63">
        <v>44721</v>
      </c>
      <c r="B357" s="64">
        <v>13977.09960938</v>
      </c>
      <c r="C357" s="47">
        <f t="shared" si="25"/>
        <v>6.4952736905106168E-3</v>
      </c>
      <c r="D357" s="65">
        <v>367.93865569000002</v>
      </c>
      <c r="E357" s="47">
        <f t="shared" si="26"/>
        <v>-1.5707505704205538E-2</v>
      </c>
      <c r="H357" s="65">
        <v>346.19876816999999</v>
      </c>
      <c r="I357" s="47">
        <f t="shared" si="27"/>
        <v>-1.6433189210026677E-2</v>
      </c>
      <c r="L357" s="65">
        <v>58.58565522</v>
      </c>
      <c r="M357" s="47">
        <f t="shared" si="28"/>
        <v>-1.3125492361236391E-2</v>
      </c>
      <c r="P357" s="65">
        <v>854.25597788000005</v>
      </c>
      <c r="Q357" s="47">
        <f t="shared" si="29"/>
        <v>-1.2282996572148708E-2</v>
      </c>
    </row>
    <row r="358" spans="1:17" ht="14.4" x14ac:dyDescent="0.3">
      <c r="A358" s="63">
        <v>44722</v>
      </c>
      <c r="B358" s="64">
        <v>13781.75</v>
      </c>
      <c r="C358" s="47">
        <f t="shared" si="25"/>
        <v>-1.3976405322954299E-2</v>
      </c>
      <c r="D358" s="65">
        <v>366.49481530999998</v>
      </c>
      <c r="E358" s="47">
        <f t="shared" si="26"/>
        <v>-3.924133432765764E-3</v>
      </c>
      <c r="H358" s="65">
        <v>346.00910321999999</v>
      </c>
      <c r="I358" s="47">
        <f t="shared" si="27"/>
        <v>-5.4784986960687565E-4</v>
      </c>
      <c r="L358" s="65">
        <v>58.001256079999997</v>
      </c>
      <c r="M358" s="47">
        <f t="shared" si="28"/>
        <v>-9.9751233950610141E-3</v>
      </c>
      <c r="P358" s="65">
        <v>843.63266855999996</v>
      </c>
      <c r="Q358" s="47">
        <f t="shared" si="29"/>
        <v>-1.2435744782686609E-2</v>
      </c>
    </row>
    <row r="359" spans="1:17" ht="14.4" x14ac:dyDescent="0.3">
      <c r="A359" s="63">
        <v>44725</v>
      </c>
      <c r="B359" s="64">
        <v>13416.90039063</v>
      </c>
      <c r="C359" s="47">
        <f t="shared" si="25"/>
        <v>-2.64733875864821E-2</v>
      </c>
      <c r="D359" s="65">
        <v>359.70877517000002</v>
      </c>
      <c r="E359" s="47">
        <f t="shared" si="26"/>
        <v>-1.8516060409367485E-2</v>
      </c>
      <c r="H359" s="65">
        <v>336.33717658</v>
      </c>
      <c r="I359" s="47">
        <f t="shared" si="27"/>
        <v>-2.7952809767118669E-2</v>
      </c>
      <c r="L359" s="65">
        <v>55.517576480000002</v>
      </c>
      <c r="M359" s="47">
        <f t="shared" si="28"/>
        <v>-4.2821134710846698E-2</v>
      </c>
      <c r="P359" s="65">
        <v>842.44739455000001</v>
      </c>
      <c r="Q359" s="47">
        <f t="shared" si="29"/>
        <v>-1.4049645706858405E-3</v>
      </c>
    </row>
    <row r="360" spans="1:17" ht="14.4" x14ac:dyDescent="0.3">
      <c r="A360" s="63">
        <v>44726</v>
      </c>
      <c r="B360" s="64">
        <v>13388.299804689999</v>
      </c>
      <c r="C360" s="47">
        <f t="shared" si="25"/>
        <v>-2.1316835563581771E-3</v>
      </c>
      <c r="D360" s="65">
        <v>356.14729261999997</v>
      </c>
      <c r="E360" s="47">
        <f t="shared" si="26"/>
        <v>-9.9010165885358159E-3</v>
      </c>
      <c r="H360" s="65">
        <v>335.95786563000001</v>
      </c>
      <c r="I360" s="47">
        <f t="shared" si="27"/>
        <v>-1.127769917845467E-3</v>
      </c>
      <c r="L360" s="65">
        <v>55.517576480000002</v>
      </c>
      <c r="M360" s="47">
        <f t="shared" si="28"/>
        <v>0</v>
      </c>
      <c r="P360" s="65">
        <v>836.08217836999995</v>
      </c>
      <c r="Q360" s="47">
        <f t="shared" si="29"/>
        <v>-7.5556245068573169E-3</v>
      </c>
    </row>
    <row r="361" spans="1:17" ht="14.4" x14ac:dyDescent="0.3">
      <c r="A361" s="63">
        <v>44727</v>
      </c>
      <c r="B361" s="64">
        <v>13380.84960938</v>
      </c>
      <c r="C361" s="47">
        <f t="shared" si="25"/>
        <v>-5.5647060632668666E-4</v>
      </c>
      <c r="D361" s="65">
        <v>363.68866258999998</v>
      </c>
      <c r="E361" s="47">
        <f t="shared" si="26"/>
        <v>2.1174862553416718E-2</v>
      </c>
      <c r="H361" s="65">
        <v>335.24669316000001</v>
      </c>
      <c r="I361" s="47">
        <f t="shared" si="27"/>
        <v>-2.1168501849671006E-3</v>
      </c>
      <c r="L361" s="65">
        <v>56.053270939999997</v>
      </c>
      <c r="M361" s="47">
        <f t="shared" si="28"/>
        <v>9.6490966278575119E-3</v>
      </c>
      <c r="P361" s="65">
        <v>824.31752826000002</v>
      </c>
      <c r="Q361" s="47">
        <f t="shared" si="29"/>
        <v>-1.4071164790207535E-2</v>
      </c>
    </row>
    <row r="362" spans="1:17" ht="14.4" x14ac:dyDescent="0.3">
      <c r="A362" s="63">
        <v>44728</v>
      </c>
      <c r="B362" s="64">
        <v>13089.200195310001</v>
      </c>
      <c r="C362" s="47">
        <f t="shared" si="25"/>
        <v>-2.1796031088007539E-2</v>
      </c>
      <c r="D362" s="65">
        <v>363.25076683999998</v>
      </c>
      <c r="E362" s="47">
        <f t="shared" si="26"/>
        <v>-1.2040401448907279E-3</v>
      </c>
      <c r="H362" s="65">
        <v>334.25106118000002</v>
      </c>
      <c r="I362" s="47">
        <f t="shared" si="27"/>
        <v>-2.9698487720050126E-3</v>
      </c>
      <c r="L362" s="65">
        <v>53.03389687</v>
      </c>
      <c r="M362" s="47">
        <f t="shared" si="28"/>
        <v>-5.3866153024896057E-2</v>
      </c>
      <c r="P362" s="65">
        <v>790.51603273000001</v>
      </c>
      <c r="Q362" s="47">
        <f t="shared" si="29"/>
        <v>-4.100543100345011E-2</v>
      </c>
    </row>
    <row r="363" spans="1:17" ht="14.4" x14ac:dyDescent="0.3">
      <c r="A363" s="63">
        <v>44729</v>
      </c>
      <c r="B363" s="64">
        <v>12994.75</v>
      </c>
      <c r="C363" s="47">
        <f t="shared" si="25"/>
        <v>-7.2158874416057284E-3</v>
      </c>
      <c r="D363" s="65">
        <v>359.99096818999999</v>
      </c>
      <c r="E363" s="47">
        <f t="shared" si="26"/>
        <v>-8.9739621979540996E-3</v>
      </c>
      <c r="H363" s="65">
        <v>342.40584833000003</v>
      </c>
      <c r="I363" s="47">
        <f t="shared" si="27"/>
        <v>2.4397191503929161E-2</v>
      </c>
      <c r="L363" s="65">
        <v>52.595598770000002</v>
      </c>
      <c r="M363" s="47">
        <f t="shared" si="28"/>
        <v>-8.2644898049709647E-3</v>
      </c>
      <c r="P363" s="65">
        <v>792.88649152999994</v>
      </c>
      <c r="Q363" s="47">
        <f t="shared" si="29"/>
        <v>2.9986220416222675E-3</v>
      </c>
    </row>
    <row r="364" spans="1:17" ht="14.4" x14ac:dyDescent="0.3">
      <c r="A364" s="63">
        <v>44732</v>
      </c>
      <c r="B364" s="64">
        <v>12950.75</v>
      </c>
      <c r="C364" s="47">
        <f t="shared" si="25"/>
        <v>-3.3859828007464232E-3</v>
      </c>
      <c r="D364" s="65">
        <v>353.27669650000001</v>
      </c>
      <c r="E364" s="47">
        <f t="shared" si="26"/>
        <v>-1.8651222623052743E-2</v>
      </c>
      <c r="H364" s="65">
        <v>337.09575107000001</v>
      </c>
      <c r="I364" s="47">
        <f t="shared" si="27"/>
        <v>-1.5508196737581192E-2</v>
      </c>
      <c r="L364" s="65">
        <v>49.722319740000003</v>
      </c>
      <c r="M364" s="47">
        <f t="shared" si="28"/>
        <v>-5.4629647673844706E-2</v>
      </c>
      <c r="P364" s="65">
        <v>797.23240701999998</v>
      </c>
      <c r="Q364" s="47">
        <f t="shared" si="29"/>
        <v>5.4811319607852571E-3</v>
      </c>
    </row>
    <row r="365" spans="1:17" ht="14.4" x14ac:dyDescent="0.3">
      <c r="A365" s="63">
        <v>44733</v>
      </c>
      <c r="B365" s="64">
        <v>13241.90039063</v>
      </c>
      <c r="C365" s="47">
        <f t="shared" si="25"/>
        <v>2.2481353638206247E-2</v>
      </c>
      <c r="D365" s="65">
        <v>362.22904254000002</v>
      </c>
      <c r="E365" s="47">
        <f t="shared" si="26"/>
        <v>2.5340890380523673E-2</v>
      </c>
      <c r="H365" s="65">
        <v>341.26795341000002</v>
      </c>
      <c r="I365" s="47">
        <f t="shared" si="27"/>
        <v>1.2376905750834055E-2</v>
      </c>
      <c r="L365" s="65">
        <v>51.52420884</v>
      </c>
      <c r="M365" s="47">
        <f t="shared" si="28"/>
        <v>3.6239039317194965E-2</v>
      </c>
      <c r="P365" s="65">
        <v>812.90403626</v>
      </c>
      <c r="Q365" s="47">
        <f t="shared" si="29"/>
        <v>1.965754164281841E-2</v>
      </c>
    </row>
    <row r="366" spans="1:17" ht="14.4" x14ac:dyDescent="0.3">
      <c r="A366" s="63">
        <v>44734</v>
      </c>
      <c r="B366" s="64">
        <v>13047.75</v>
      </c>
      <c r="C366" s="47">
        <f t="shared" si="25"/>
        <v>-1.4661822314218753E-2</v>
      </c>
      <c r="D366" s="65">
        <v>362.42366828000002</v>
      </c>
      <c r="E366" s="47">
        <f t="shared" si="26"/>
        <v>5.3730020827491565E-4</v>
      </c>
      <c r="H366" s="65">
        <v>338.75515350000001</v>
      </c>
      <c r="I366" s="47">
        <f t="shared" si="27"/>
        <v>-7.3631288402317141E-3</v>
      </c>
      <c r="L366" s="65">
        <v>50.452813919999997</v>
      </c>
      <c r="M366" s="47">
        <f t="shared" si="28"/>
        <v>-2.0794010119146944E-2</v>
      </c>
      <c r="P366" s="65">
        <v>817.68888810999999</v>
      </c>
      <c r="Q366" s="47">
        <f t="shared" si="29"/>
        <v>5.886121407409961E-3</v>
      </c>
    </row>
    <row r="367" spans="1:17" ht="14.4" x14ac:dyDescent="0.3">
      <c r="A367" s="63">
        <v>44735</v>
      </c>
      <c r="B367" s="64">
        <v>13178.799804689999</v>
      </c>
      <c r="C367" s="47">
        <f t="shared" si="25"/>
        <v>1.0043862327987485E-2</v>
      </c>
      <c r="D367" s="65">
        <v>401.83340964000001</v>
      </c>
      <c r="E367" s="47">
        <f t="shared" si="26"/>
        <v>0.10873942517891222</v>
      </c>
      <c r="H367" s="65">
        <v>346.38839519999999</v>
      </c>
      <c r="I367" s="47">
        <f t="shared" si="27"/>
        <v>2.2533212029791194E-2</v>
      </c>
      <c r="L367" s="65">
        <v>50.939810700000002</v>
      </c>
      <c r="M367" s="47">
        <f t="shared" si="28"/>
        <v>9.6525196943861857E-3</v>
      </c>
      <c r="P367" s="65">
        <v>807.32895762999999</v>
      </c>
      <c r="Q367" s="47">
        <f t="shared" si="29"/>
        <v>-1.2669770411025016E-2</v>
      </c>
    </row>
    <row r="368" spans="1:17" ht="14.4" x14ac:dyDescent="0.3">
      <c r="A368" s="63">
        <v>44736</v>
      </c>
      <c r="B368" s="64">
        <v>13322.5</v>
      </c>
      <c r="C368" s="47">
        <f t="shared" si="25"/>
        <v>1.0903890903545044E-2</v>
      </c>
      <c r="D368" s="65">
        <v>392.78374587000002</v>
      </c>
      <c r="E368" s="47">
        <f t="shared" si="26"/>
        <v>-2.2520934180429442E-2</v>
      </c>
      <c r="H368" s="65">
        <v>348.04779762999999</v>
      </c>
      <c r="I368" s="47">
        <f t="shared" si="27"/>
        <v>4.7905832094690126E-3</v>
      </c>
      <c r="L368" s="65">
        <v>51.767707229999999</v>
      </c>
      <c r="M368" s="47">
        <f t="shared" si="28"/>
        <v>1.6252446144249255E-2</v>
      </c>
      <c r="P368" s="65">
        <v>804.91456560999995</v>
      </c>
      <c r="Q368" s="47">
        <f t="shared" si="29"/>
        <v>-2.9905926167788088E-3</v>
      </c>
    </row>
    <row r="369" spans="1:17" ht="14.4" x14ac:dyDescent="0.3">
      <c r="A369" s="63">
        <v>44739</v>
      </c>
      <c r="B369" s="64">
        <v>13444.549804689999</v>
      </c>
      <c r="C369" s="47">
        <f t="shared" si="25"/>
        <v>9.1611788095327107E-3</v>
      </c>
      <c r="D369" s="65">
        <v>409.42342416999998</v>
      </c>
      <c r="E369" s="47">
        <f t="shared" si="26"/>
        <v>4.2363459473466092E-2</v>
      </c>
      <c r="H369" s="65">
        <v>345.53498823000001</v>
      </c>
      <c r="I369" s="47">
        <f t="shared" si="27"/>
        <v>-7.2197250409591351E-3</v>
      </c>
      <c r="L369" s="65">
        <v>52.839097160000001</v>
      </c>
      <c r="M369" s="47">
        <f t="shared" si="28"/>
        <v>2.0696105493718253E-2</v>
      </c>
      <c r="P369" s="65">
        <v>821.11295356000005</v>
      </c>
      <c r="Q369" s="47">
        <f t="shared" si="29"/>
        <v>2.0124356847393221E-2</v>
      </c>
    </row>
    <row r="370" spans="1:17" ht="14.4" x14ac:dyDescent="0.3">
      <c r="A370" s="63">
        <v>44740</v>
      </c>
      <c r="B370" s="64">
        <v>13464.25</v>
      </c>
      <c r="C370" s="47">
        <f t="shared" si="25"/>
        <v>1.4652923003140028E-3</v>
      </c>
      <c r="D370" s="65">
        <v>403.68226170000003</v>
      </c>
      <c r="E370" s="47">
        <f t="shared" si="26"/>
        <v>-1.4022554966508505E-2</v>
      </c>
      <c r="H370" s="65">
        <v>342.31101584999999</v>
      </c>
      <c r="I370" s="47">
        <f t="shared" si="27"/>
        <v>-9.3303789480619903E-3</v>
      </c>
      <c r="L370" s="65">
        <v>53.423490309999998</v>
      </c>
      <c r="M370" s="47">
        <f t="shared" si="28"/>
        <v>1.1059862514880114E-2</v>
      </c>
      <c r="P370" s="65">
        <v>826.51243056999999</v>
      </c>
      <c r="Q370" s="47">
        <f t="shared" si="29"/>
        <v>6.5758029837308385E-3</v>
      </c>
    </row>
    <row r="371" spans="1:17" ht="14.4" x14ac:dyDescent="0.3">
      <c r="A371" s="63">
        <v>44741</v>
      </c>
      <c r="B371" s="64">
        <v>13417.84960938</v>
      </c>
      <c r="C371" s="47">
        <f t="shared" si="25"/>
        <v>-3.4461919988116874E-3</v>
      </c>
      <c r="D371" s="65">
        <v>388.79411772999998</v>
      </c>
      <c r="E371" s="47">
        <f t="shared" si="26"/>
        <v>-3.6880847593606436E-2</v>
      </c>
      <c r="H371" s="65">
        <v>336.24235357999999</v>
      </c>
      <c r="I371" s="47">
        <f t="shared" si="27"/>
        <v>-1.7728504164351122E-2</v>
      </c>
      <c r="L371" s="65">
        <v>53.326092950000003</v>
      </c>
      <c r="M371" s="47">
        <f t="shared" si="28"/>
        <v>-1.8231186213185646E-3</v>
      </c>
      <c r="P371" s="65">
        <v>847.89076169999998</v>
      </c>
      <c r="Q371" s="47">
        <f t="shared" si="29"/>
        <v>2.5865710350244209E-2</v>
      </c>
    </row>
    <row r="372" spans="1:17" ht="14.4" x14ac:dyDescent="0.3">
      <c r="A372" s="63">
        <v>44742</v>
      </c>
      <c r="B372" s="64">
        <v>13387.549804689999</v>
      </c>
      <c r="C372" s="47">
        <f t="shared" si="25"/>
        <v>-2.2581714337310821E-3</v>
      </c>
      <c r="D372" s="65">
        <v>380.71756318000001</v>
      </c>
      <c r="E372" s="47">
        <f t="shared" si="26"/>
        <v>-2.0773345536078236E-2</v>
      </c>
      <c r="H372" s="65">
        <v>338.23363649999999</v>
      </c>
      <c r="I372" s="47">
        <f t="shared" si="27"/>
        <v>5.9221656605679129E-3</v>
      </c>
      <c r="L372" s="65">
        <v>52.985198189999998</v>
      </c>
      <c r="M372" s="47">
        <f t="shared" si="28"/>
        <v>-6.392644597451369E-3</v>
      </c>
      <c r="P372" s="65">
        <v>898.98808658999997</v>
      </c>
      <c r="Q372" s="47">
        <f t="shared" si="29"/>
        <v>6.0264042490038694E-2</v>
      </c>
    </row>
    <row r="373" spans="1:17" ht="14.4" x14ac:dyDescent="0.3">
      <c r="A373" s="63">
        <v>44743</v>
      </c>
      <c r="B373" s="64">
        <v>13394.450195310001</v>
      </c>
      <c r="C373" s="47">
        <f t="shared" si="25"/>
        <v>5.1543342289450678E-4</v>
      </c>
      <c r="D373" s="65">
        <v>377.50640879999997</v>
      </c>
      <c r="E373" s="47">
        <f t="shared" si="26"/>
        <v>-8.4344792322644802E-3</v>
      </c>
      <c r="H373" s="65">
        <v>336.14752111000001</v>
      </c>
      <c r="I373" s="47">
        <f t="shared" si="27"/>
        <v>-6.1676757273074756E-3</v>
      </c>
      <c r="L373" s="65">
        <v>52.352100380000003</v>
      </c>
      <c r="M373" s="47">
        <f t="shared" si="28"/>
        <v>-1.1948578690406442E-2</v>
      </c>
      <c r="P373" s="65">
        <v>914.44019945000002</v>
      </c>
      <c r="Q373" s="47">
        <f t="shared" si="29"/>
        <v>1.7188339968566613E-2</v>
      </c>
    </row>
    <row r="374" spans="1:17" ht="14.4" x14ac:dyDescent="0.3">
      <c r="A374" s="63">
        <v>44746</v>
      </c>
      <c r="B374" s="64">
        <v>13472.65039063</v>
      </c>
      <c r="C374" s="47">
        <f t="shared" si="25"/>
        <v>5.8382534691405752E-3</v>
      </c>
      <c r="D374" s="65">
        <v>386.55604338000001</v>
      </c>
      <c r="E374" s="47">
        <f t="shared" si="26"/>
        <v>2.3972134959951097E-2</v>
      </c>
      <c r="H374" s="65">
        <v>337.85432555</v>
      </c>
      <c r="I374" s="47">
        <f t="shared" si="27"/>
        <v>5.0775458178715649E-3</v>
      </c>
      <c r="L374" s="65">
        <v>51.378107810000003</v>
      </c>
      <c r="M374" s="47">
        <f t="shared" si="28"/>
        <v>-1.8604651254299887E-2</v>
      </c>
      <c r="P374" s="65">
        <v>945.16883173999997</v>
      </c>
      <c r="Q374" s="47">
        <f t="shared" si="29"/>
        <v>3.3603763601471215E-2</v>
      </c>
    </row>
    <row r="375" spans="1:17" ht="14.4" x14ac:dyDescent="0.3">
      <c r="A375" s="63">
        <v>44747</v>
      </c>
      <c r="B375" s="64">
        <v>13461.84960938</v>
      </c>
      <c r="C375" s="47">
        <f t="shared" si="25"/>
        <v>-8.0168199551233776E-4</v>
      </c>
      <c r="D375" s="65">
        <v>384.95047105999998</v>
      </c>
      <c r="E375" s="47">
        <f t="shared" si="26"/>
        <v>-4.1535305099904551E-3</v>
      </c>
      <c r="H375" s="65">
        <v>336.90609559000001</v>
      </c>
      <c r="I375" s="47">
        <f t="shared" si="27"/>
        <v>-2.8066237081806333E-3</v>
      </c>
      <c r="L375" s="65">
        <v>51.28071044</v>
      </c>
      <c r="M375" s="47">
        <f t="shared" si="28"/>
        <v>-1.8956978789523848E-3</v>
      </c>
      <c r="P375" s="65">
        <v>960.40145385999995</v>
      </c>
      <c r="Q375" s="47">
        <f t="shared" si="29"/>
        <v>1.6116297542268399E-2</v>
      </c>
    </row>
    <row r="376" spans="1:17" ht="14.4" x14ac:dyDescent="0.3">
      <c r="A376" s="63">
        <v>44748</v>
      </c>
      <c r="B376" s="64">
        <v>13631.299804689999</v>
      </c>
      <c r="C376" s="47">
        <f t="shared" si="25"/>
        <v>1.2587437850436922E-2</v>
      </c>
      <c r="D376" s="65">
        <v>407.52590837999998</v>
      </c>
      <c r="E376" s="47">
        <f t="shared" si="26"/>
        <v>5.8645044017834991E-2</v>
      </c>
      <c r="H376" s="65">
        <v>336.66903810000002</v>
      </c>
      <c r="I376" s="47">
        <f t="shared" si="27"/>
        <v>-7.0363075380053264E-4</v>
      </c>
      <c r="L376" s="65">
        <v>51.81640591</v>
      </c>
      <c r="M376" s="47">
        <f t="shared" si="28"/>
        <v>1.0446334799257162E-2</v>
      </c>
      <c r="P376" s="65">
        <v>943.50070558000004</v>
      </c>
      <c r="Q376" s="47">
        <f t="shared" si="29"/>
        <v>-1.7597587146576221E-2</v>
      </c>
    </row>
    <row r="377" spans="1:17" ht="14.4" x14ac:dyDescent="0.3">
      <c r="A377" s="63">
        <v>44749</v>
      </c>
      <c r="B377" s="64">
        <v>13765.59960938</v>
      </c>
      <c r="C377" s="47">
        <f t="shared" si="25"/>
        <v>9.8523109765213945E-3</v>
      </c>
      <c r="D377" s="65">
        <v>399.88724956999999</v>
      </c>
      <c r="E377" s="47">
        <f t="shared" si="26"/>
        <v>-1.8743983273027287E-2</v>
      </c>
      <c r="H377" s="65">
        <v>339.08704347000003</v>
      </c>
      <c r="I377" s="47">
        <f t="shared" si="27"/>
        <v>7.1821435782930543E-3</v>
      </c>
      <c r="L377" s="65">
        <v>53.03389687</v>
      </c>
      <c r="M377" s="47">
        <f t="shared" si="28"/>
        <v>2.3496244840189418E-2</v>
      </c>
      <c r="P377" s="65">
        <v>972.95629484999995</v>
      </c>
      <c r="Q377" s="47">
        <f t="shared" si="29"/>
        <v>3.1219467135313428E-2</v>
      </c>
    </row>
    <row r="378" spans="1:17" ht="14.4" x14ac:dyDescent="0.3">
      <c r="A378" s="63">
        <v>44750</v>
      </c>
      <c r="B378" s="64">
        <v>13828.25</v>
      </c>
      <c r="C378" s="47">
        <f t="shared" si="25"/>
        <v>4.5512285986661905E-3</v>
      </c>
      <c r="D378" s="65">
        <v>400.03321158</v>
      </c>
      <c r="E378" s="47">
        <f t="shared" si="26"/>
        <v>3.6500791199767235E-4</v>
      </c>
      <c r="H378" s="65">
        <v>337.09575107000001</v>
      </c>
      <c r="I378" s="47">
        <f t="shared" si="27"/>
        <v>-5.8725110214250531E-3</v>
      </c>
      <c r="L378" s="65">
        <v>53.861788410000003</v>
      </c>
      <c r="M378" s="47">
        <f t="shared" si="28"/>
        <v>1.5610611115931761E-2</v>
      </c>
      <c r="P378" s="65">
        <v>983.22843784999998</v>
      </c>
      <c r="Q378" s="47">
        <f t="shared" si="29"/>
        <v>1.0557661278694619E-2</v>
      </c>
    </row>
    <row r="379" spans="1:17" ht="14.4" x14ac:dyDescent="0.3">
      <c r="A379" s="63">
        <v>44753</v>
      </c>
      <c r="B379" s="64">
        <v>13886.84960938</v>
      </c>
      <c r="C379" s="47">
        <f t="shared" si="25"/>
        <v>4.237673558114663E-3</v>
      </c>
      <c r="D379" s="65">
        <v>402.36859392999997</v>
      </c>
      <c r="E379" s="47">
        <f t="shared" si="26"/>
        <v>5.8379711543847801E-3</v>
      </c>
      <c r="H379" s="65">
        <v>335.81563113999999</v>
      </c>
      <c r="I379" s="47">
        <f t="shared" si="27"/>
        <v>-3.7974964856029025E-3</v>
      </c>
      <c r="L379" s="65">
        <v>54.00788944</v>
      </c>
      <c r="M379" s="47">
        <f t="shared" si="28"/>
        <v>2.7125172466957448E-3</v>
      </c>
      <c r="P379" s="65">
        <v>961.36721046000002</v>
      </c>
      <c r="Q379" s="47">
        <f t="shared" si="29"/>
        <v>-2.2234128457272129E-2</v>
      </c>
    </row>
    <row r="380" spans="1:17" ht="14.4" x14ac:dyDescent="0.3">
      <c r="A380" s="63">
        <v>44754</v>
      </c>
      <c r="B380" s="64">
        <v>13779</v>
      </c>
      <c r="C380" s="47">
        <f t="shared" si="25"/>
        <v>-7.7663121884140596E-3</v>
      </c>
      <c r="D380" s="65">
        <v>397.98973377999999</v>
      </c>
      <c r="E380" s="47">
        <f t="shared" si="26"/>
        <v>-1.0882708581281042E-2</v>
      </c>
      <c r="H380" s="65">
        <v>337.28540654</v>
      </c>
      <c r="I380" s="47">
        <f t="shared" si="27"/>
        <v>4.3767331348172345E-3</v>
      </c>
      <c r="L380" s="65">
        <v>55.127977059999999</v>
      </c>
      <c r="M380" s="47">
        <f t="shared" si="28"/>
        <v>2.0739333301375451E-2</v>
      </c>
      <c r="P380" s="65">
        <v>950.83167938999998</v>
      </c>
      <c r="Q380" s="47">
        <f t="shared" si="29"/>
        <v>-1.0958904105912826E-2</v>
      </c>
    </row>
    <row r="381" spans="1:17" ht="14.4" x14ac:dyDescent="0.3">
      <c r="A381" s="63">
        <v>44755</v>
      </c>
      <c r="B381" s="64">
        <v>13726.950195310001</v>
      </c>
      <c r="C381" s="47">
        <f t="shared" si="25"/>
        <v>-3.7774733064808164E-3</v>
      </c>
      <c r="D381" s="65">
        <v>436.03717282000002</v>
      </c>
      <c r="E381" s="47">
        <f t="shared" si="26"/>
        <v>9.5599046434277746E-2</v>
      </c>
      <c r="H381" s="65">
        <v>346.10393569000001</v>
      </c>
      <c r="I381" s="47">
        <f t="shared" si="27"/>
        <v>2.6145599480463133E-2</v>
      </c>
      <c r="L381" s="65">
        <v>54.251386830000001</v>
      </c>
      <c r="M381" s="47">
        <f t="shared" si="28"/>
        <v>-1.590100483908452E-2</v>
      </c>
      <c r="P381" s="65">
        <v>976.86322065000002</v>
      </c>
      <c r="Q381" s="47">
        <f t="shared" si="29"/>
        <v>2.7377654556798525E-2</v>
      </c>
    </row>
    <row r="382" spans="1:17" ht="14.4" x14ac:dyDescent="0.3">
      <c r="A382" s="63">
        <v>44756</v>
      </c>
      <c r="B382" s="64">
        <v>13702.65039063</v>
      </c>
      <c r="C382" s="47">
        <f t="shared" si="25"/>
        <v>-1.7702260395978664E-3</v>
      </c>
      <c r="D382" s="65">
        <v>443.57854308999998</v>
      </c>
      <c r="E382" s="47">
        <f t="shared" si="26"/>
        <v>1.7295246231479267E-2</v>
      </c>
      <c r="H382" s="65">
        <v>342.07395836000001</v>
      </c>
      <c r="I382" s="47">
        <f t="shared" si="27"/>
        <v>-1.1643835606682029E-2</v>
      </c>
      <c r="L382" s="65">
        <v>53.910487089999997</v>
      </c>
      <c r="M382" s="47">
        <f t="shared" si="28"/>
        <v>-6.283705540435891E-3</v>
      </c>
      <c r="P382" s="65">
        <v>999.86579702999995</v>
      </c>
      <c r="Q382" s="47">
        <f t="shared" si="29"/>
        <v>2.354738707911852E-2</v>
      </c>
    </row>
    <row r="383" spans="1:17" ht="14.4" x14ac:dyDescent="0.3">
      <c r="A383" s="63">
        <v>44757</v>
      </c>
      <c r="B383" s="64">
        <v>13790.200195310001</v>
      </c>
      <c r="C383" s="47">
        <f t="shared" si="25"/>
        <v>6.3892606309117195E-3</v>
      </c>
      <c r="D383" s="65">
        <v>460.85071368000001</v>
      </c>
      <c r="E383" s="47">
        <f t="shared" si="26"/>
        <v>3.8938246358087625E-2</v>
      </c>
      <c r="H383" s="65">
        <v>345.77204573</v>
      </c>
      <c r="I383" s="47">
        <f t="shared" si="27"/>
        <v>1.0810783105880573E-2</v>
      </c>
      <c r="L383" s="65">
        <v>53.47219398</v>
      </c>
      <c r="M383" s="47">
        <f t="shared" si="28"/>
        <v>-8.1300157661030603E-3</v>
      </c>
      <c r="P383" s="65">
        <v>1032.74543328</v>
      </c>
      <c r="Q383" s="47">
        <f t="shared" si="29"/>
        <v>3.2884049387093439E-2</v>
      </c>
    </row>
    <row r="384" spans="1:17" ht="14.4" x14ac:dyDescent="0.3">
      <c r="A384" s="63">
        <v>44760</v>
      </c>
      <c r="B384" s="64">
        <v>13984.40039063</v>
      </c>
      <c r="C384" s="47">
        <f t="shared" si="25"/>
        <v>1.4082478322979375E-2</v>
      </c>
      <c r="D384" s="65">
        <v>450.68200787000001</v>
      </c>
      <c r="E384" s="47">
        <f t="shared" si="26"/>
        <v>-2.2065075539973722E-2</v>
      </c>
      <c r="H384" s="65">
        <v>348.00039562000001</v>
      </c>
      <c r="I384" s="47">
        <f t="shared" si="27"/>
        <v>6.4445634559482379E-3</v>
      </c>
      <c r="L384" s="65">
        <v>55.614973839999998</v>
      </c>
      <c r="M384" s="47">
        <f t="shared" si="28"/>
        <v>4.0072787378080177E-2</v>
      </c>
      <c r="P384" s="65">
        <v>1010.31353242</v>
      </c>
      <c r="Q384" s="47">
        <f t="shared" si="29"/>
        <v>-2.1720648803796982E-2</v>
      </c>
    </row>
    <row r="385" spans="1:17" ht="14.4" x14ac:dyDescent="0.3">
      <c r="A385" s="63">
        <v>44761</v>
      </c>
      <c r="B385" s="64">
        <v>14051.65039063</v>
      </c>
      <c r="C385" s="47">
        <f t="shared" si="25"/>
        <v>4.8089298161870797E-3</v>
      </c>
      <c r="D385" s="65">
        <v>443.62717763000001</v>
      </c>
      <c r="E385" s="47">
        <f t="shared" si="26"/>
        <v>-1.5653676243572168E-2</v>
      </c>
      <c r="H385" s="65">
        <v>351.31920048000001</v>
      </c>
      <c r="I385" s="47">
        <f t="shared" si="27"/>
        <v>9.5367847329230759E-3</v>
      </c>
      <c r="L385" s="65">
        <v>55.95587458</v>
      </c>
      <c r="M385" s="47">
        <f t="shared" si="28"/>
        <v>6.1296574728371134E-3</v>
      </c>
      <c r="P385" s="65">
        <v>996.13446259</v>
      </c>
      <c r="Q385" s="47">
        <f t="shared" si="29"/>
        <v>-1.4034326350194415E-2</v>
      </c>
    </row>
    <row r="386" spans="1:17" ht="14.4" x14ac:dyDescent="0.3">
      <c r="A386" s="63">
        <v>44762</v>
      </c>
      <c r="B386" s="64">
        <v>14164.40039063</v>
      </c>
      <c r="C386" s="47">
        <f t="shared" si="25"/>
        <v>8.0239684923548715E-3</v>
      </c>
      <c r="D386" s="65">
        <v>442.99468532999998</v>
      </c>
      <c r="E386" s="47">
        <f t="shared" si="26"/>
        <v>-1.425729377940721E-3</v>
      </c>
      <c r="H386" s="65">
        <v>351.50885595</v>
      </c>
      <c r="I386" s="47">
        <f t="shared" si="27"/>
        <v>5.3983804398072266E-4</v>
      </c>
      <c r="L386" s="65">
        <v>56.296769339999997</v>
      </c>
      <c r="M386" s="47">
        <f t="shared" si="28"/>
        <v>6.0922068068585133E-3</v>
      </c>
      <c r="P386" s="65">
        <v>995.08091031000004</v>
      </c>
      <c r="Q386" s="47">
        <f t="shared" si="29"/>
        <v>-1.0576406294192653E-3</v>
      </c>
    </row>
    <row r="387" spans="1:17" ht="14.4" x14ac:dyDescent="0.3">
      <c r="A387" s="63">
        <v>44763</v>
      </c>
      <c r="B387" s="64">
        <v>14271.799804689999</v>
      </c>
      <c r="C387" s="47">
        <f t="shared" si="25"/>
        <v>7.5823480767349682E-3</v>
      </c>
      <c r="D387" s="65">
        <v>442.99468532999998</v>
      </c>
      <c r="E387" s="47">
        <f t="shared" si="26"/>
        <v>0</v>
      </c>
      <c r="H387" s="65">
        <v>349.61239603000001</v>
      </c>
      <c r="I387" s="47">
        <f t="shared" si="27"/>
        <v>-5.3951981234571234E-3</v>
      </c>
      <c r="L387" s="65">
        <v>55.566275160000004</v>
      </c>
      <c r="M387" s="47">
        <f t="shared" si="28"/>
        <v>-1.2975774428337639E-2</v>
      </c>
      <c r="P387" s="65">
        <v>1003.90441686</v>
      </c>
      <c r="Q387" s="47">
        <f t="shared" si="29"/>
        <v>8.8671247318483637E-3</v>
      </c>
    </row>
    <row r="388" spans="1:17" ht="14.4" x14ac:dyDescent="0.3">
      <c r="A388" s="63">
        <v>44764</v>
      </c>
      <c r="B388" s="64">
        <v>14336.59960938</v>
      </c>
      <c r="C388" s="47">
        <f t="shared" ref="C388:C451" si="30">B388/B387-1</f>
        <v>4.5404087484961497E-3</v>
      </c>
      <c r="D388" s="65">
        <v>447.17891974999998</v>
      </c>
      <c r="E388" s="47">
        <f t="shared" ref="E388:E451" si="31">D388/D387-1</f>
        <v>9.4453377400747218E-3</v>
      </c>
      <c r="H388" s="65">
        <v>351.50885595</v>
      </c>
      <c r="I388" s="47">
        <f t="shared" ref="I388:I451" si="32">H388/H387-1</f>
        <v>5.4244641824348072E-3</v>
      </c>
      <c r="L388" s="65">
        <v>55.907175899999999</v>
      </c>
      <c r="M388" s="47">
        <f t="shared" ref="M388:M451" si="33">L388/L387-1</f>
        <v>6.1350295483797446E-3</v>
      </c>
      <c r="P388" s="65">
        <v>1012.81572013</v>
      </c>
      <c r="Q388" s="47">
        <f t="shared" ref="Q388:Q451" si="34">P388/P387-1</f>
        <v>8.8766451470276841E-3</v>
      </c>
    </row>
    <row r="389" spans="1:17" ht="14.4" x14ac:dyDescent="0.3">
      <c r="A389" s="63">
        <v>44767</v>
      </c>
      <c r="B389" s="64">
        <v>14279.5</v>
      </c>
      <c r="C389" s="47">
        <f t="shared" si="30"/>
        <v>-3.982786081480727E-3</v>
      </c>
      <c r="D389" s="65">
        <v>447.81144123000001</v>
      </c>
      <c r="E389" s="47">
        <f t="shared" si="31"/>
        <v>1.4144707007961443E-3</v>
      </c>
      <c r="H389" s="65">
        <v>352.31483244999998</v>
      </c>
      <c r="I389" s="47">
        <f t="shared" si="32"/>
        <v>2.2929052465028299E-3</v>
      </c>
      <c r="L389" s="65">
        <v>55.95587458</v>
      </c>
      <c r="M389" s="47">
        <f t="shared" si="33"/>
        <v>8.7106313663753987E-4</v>
      </c>
      <c r="P389" s="65">
        <v>1026.3363187499999</v>
      </c>
      <c r="Q389" s="47">
        <f t="shared" si="34"/>
        <v>1.3349514972244236E-2</v>
      </c>
    </row>
    <row r="390" spans="1:17" ht="14.4" x14ac:dyDescent="0.3">
      <c r="A390" s="63">
        <v>44768</v>
      </c>
      <c r="B390" s="64">
        <v>14141.450195310001</v>
      </c>
      <c r="C390" s="47">
        <f t="shared" si="30"/>
        <v>-9.6676917742217761E-3</v>
      </c>
      <c r="D390" s="65">
        <v>448.73584779999999</v>
      </c>
      <c r="E390" s="47">
        <f t="shared" si="31"/>
        <v>2.0642763558271771E-3</v>
      </c>
      <c r="H390" s="65">
        <v>350.46580299999999</v>
      </c>
      <c r="I390" s="47">
        <f t="shared" si="32"/>
        <v>-5.2482305020820075E-3</v>
      </c>
      <c r="L390" s="65">
        <v>56.442870370000001</v>
      </c>
      <c r="M390" s="47">
        <f t="shared" si="33"/>
        <v>8.7032111222520303E-3</v>
      </c>
      <c r="P390" s="65">
        <v>995.03701194999996</v>
      </c>
      <c r="Q390" s="47">
        <f t="shared" si="34"/>
        <v>-3.0496150460815996E-2</v>
      </c>
    </row>
    <row r="391" spans="1:17" ht="14.4" x14ac:dyDescent="0.3">
      <c r="A391" s="63">
        <v>44769</v>
      </c>
      <c r="B391" s="64">
        <v>14262.549804689999</v>
      </c>
      <c r="C391" s="47">
        <f t="shared" si="30"/>
        <v>8.563450544850193E-3</v>
      </c>
      <c r="D391" s="65">
        <v>447.56817122000001</v>
      </c>
      <c r="E391" s="47">
        <f t="shared" si="31"/>
        <v>-2.6021468659673808E-3</v>
      </c>
      <c r="H391" s="65">
        <v>356.69135355999998</v>
      </c>
      <c r="I391" s="47">
        <f t="shared" si="32"/>
        <v>1.7763646286482304E-2</v>
      </c>
      <c r="L391" s="65">
        <v>55.225379400000001</v>
      </c>
      <c r="M391" s="47">
        <f t="shared" si="33"/>
        <v>-2.1570323444200845E-2</v>
      </c>
      <c r="P391" s="65">
        <v>991.52516825999999</v>
      </c>
      <c r="Q391" s="47">
        <f t="shared" si="34"/>
        <v>-3.5293598608133747E-3</v>
      </c>
    </row>
    <row r="392" spans="1:17" ht="14.4" x14ac:dyDescent="0.3">
      <c r="A392" s="63">
        <v>44770</v>
      </c>
      <c r="B392" s="64">
        <v>14469.09960938</v>
      </c>
      <c r="C392" s="47">
        <f t="shared" si="30"/>
        <v>1.4481969039090048E-2</v>
      </c>
      <c r="D392" s="65">
        <v>458.80723588000001</v>
      </c>
      <c r="E392" s="47">
        <f t="shared" si="31"/>
        <v>2.5111402871576205E-2</v>
      </c>
      <c r="H392" s="65">
        <v>358.38046162000001</v>
      </c>
      <c r="I392" s="47">
        <f t="shared" si="32"/>
        <v>4.7354892209796606E-3</v>
      </c>
      <c r="L392" s="65">
        <v>50.111919159999999</v>
      </c>
      <c r="M392" s="47">
        <f t="shared" si="33"/>
        <v>-9.2592577824825217E-2</v>
      </c>
      <c r="P392" s="65">
        <v>980.47741581000002</v>
      </c>
      <c r="Q392" s="47">
        <f t="shared" si="34"/>
        <v>-1.1142180555423931E-2</v>
      </c>
    </row>
    <row r="393" spans="1:17" ht="14.4" x14ac:dyDescent="0.3">
      <c r="A393" s="63">
        <v>44771</v>
      </c>
      <c r="B393" s="64">
        <v>14665.65039063</v>
      </c>
      <c r="C393" s="47">
        <f t="shared" si="30"/>
        <v>1.3584175004405896E-2</v>
      </c>
      <c r="D393" s="65">
        <v>447.56817122000001</v>
      </c>
      <c r="E393" s="47">
        <f t="shared" si="31"/>
        <v>-2.4496267236159164E-2</v>
      </c>
      <c r="H393" s="65">
        <v>357.65655816999998</v>
      </c>
      <c r="I393" s="47">
        <f t="shared" si="32"/>
        <v>-2.0199300116076069E-3</v>
      </c>
      <c r="L393" s="65">
        <v>51.621606200000002</v>
      </c>
      <c r="M393" s="47">
        <f t="shared" si="33"/>
        <v>3.0126306581470086E-2</v>
      </c>
      <c r="P393" s="65">
        <v>997.51120834000005</v>
      </c>
      <c r="Q393" s="47">
        <f t="shared" si="34"/>
        <v>1.737295755652668E-2</v>
      </c>
    </row>
    <row r="394" spans="1:17" ht="14.4" x14ac:dyDescent="0.3">
      <c r="A394" s="63">
        <v>44774</v>
      </c>
      <c r="B394" s="64">
        <v>14846.84960938</v>
      </c>
      <c r="C394" s="47">
        <f t="shared" si="30"/>
        <v>1.2355348308709768E-2</v>
      </c>
      <c r="D394" s="65">
        <v>453.79588344000001</v>
      </c>
      <c r="E394" s="47">
        <f t="shared" si="31"/>
        <v>1.3914555637466908E-2</v>
      </c>
      <c r="H394" s="65">
        <v>361.71042718000001</v>
      </c>
      <c r="I394" s="47">
        <f t="shared" si="32"/>
        <v>1.1334530060743697E-2</v>
      </c>
      <c r="L394" s="65">
        <v>53.47219398</v>
      </c>
      <c r="M394" s="47">
        <f t="shared" si="33"/>
        <v>3.5849093358896633E-2</v>
      </c>
      <c r="P394" s="65">
        <v>1003.23315411</v>
      </c>
      <c r="Q394" s="47">
        <f t="shared" si="34"/>
        <v>5.7362220315519963E-3</v>
      </c>
    </row>
    <row r="395" spans="1:17" ht="14.4" x14ac:dyDescent="0.3">
      <c r="A395" s="63">
        <v>44775</v>
      </c>
      <c r="B395" s="64">
        <v>14876.59960938</v>
      </c>
      <c r="C395" s="47">
        <f t="shared" si="30"/>
        <v>2.0037921028852601E-3</v>
      </c>
      <c r="D395" s="65">
        <v>453.79588344000001</v>
      </c>
      <c r="E395" s="47">
        <f t="shared" si="31"/>
        <v>0</v>
      </c>
      <c r="H395" s="65">
        <v>357.99437977999997</v>
      </c>
      <c r="I395" s="47">
        <f t="shared" si="32"/>
        <v>-1.0273542371922795E-2</v>
      </c>
      <c r="L395" s="65">
        <v>53.666988699999997</v>
      </c>
      <c r="M395" s="47">
        <f t="shared" si="33"/>
        <v>3.6429161682212108E-3</v>
      </c>
      <c r="P395" s="65">
        <v>996.49886418999995</v>
      </c>
      <c r="Q395" s="47">
        <f t="shared" si="34"/>
        <v>-6.7125870914566121E-3</v>
      </c>
    </row>
    <row r="396" spans="1:17" ht="14.4" x14ac:dyDescent="0.3">
      <c r="A396" s="63">
        <v>44776</v>
      </c>
      <c r="B396" s="64">
        <v>14878.049804689999</v>
      </c>
      <c r="C396" s="47">
        <f t="shared" si="30"/>
        <v>9.7481638820617889E-5</v>
      </c>
      <c r="D396" s="65">
        <v>450.87664333999999</v>
      </c>
      <c r="E396" s="47">
        <f t="shared" si="31"/>
        <v>-6.4329364953042978E-3</v>
      </c>
      <c r="H396" s="65">
        <v>360.02131910999998</v>
      </c>
      <c r="I396" s="47">
        <f t="shared" si="32"/>
        <v>5.6619305902110284E-3</v>
      </c>
      <c r="L396" s="65">
        <v>54.787082300000002</v>
      </c>
      <c r="M396" s="47">
        <f t="shared" si="33"/>
        <v>2.0871184076702409E-2</v>
      </c>
      <c r="P396" s="65">
        <v>992.44948758999999</v>
      </c>
      <c r="Q396" s="47">
        <f t="shared" si="34"/>
        <v>-4.0636038288829335E-3</v>
      </c>
    </row>
    <row r="397" spans="1:17" ht="14.4" x14ac:dyDescent="0.3">
      <c r="A397" s="63">
        <v>44777</v>
      </c>
      <c r="B397" s="64">
        <v>14892.450195310001</v>
      </c>
      <c r="C397" s="47">
        <f t="shared" si="30"/>
        <v>9.67895040616229E-4</v>
      </c>
      <c r="D397" s="65">
        <v>432.04753496000001</v>
      </c>
      <c r="E397" s="47">
        <f t="shared" si="31"/>
        <v>-4.1761108405434122E-2</v>
      </c>
      <c r="H397" s="65">
        <v>367.35688378999998</v>
      </c>
      <c r="I397" s="47">
        <f t="shared" si="32"/>
        <v>2.0375361931715741E-2</v>
      </c>
      <c r="L397" s="65">
        <v>55.371475449999998</v>
      </c>
      <c r="M397" s="47">
        <f t="shared" si="33"/>
        <v>1.0666622960500138E-2</v>
      </c>
      <c r="P397" s="65">
        <v>1005.25784241</v>
      </c>
      <c r="Q397" s="47">
        <f t="shared" si="34"/>
        <v>1.2905800224757957E-2</v>
      </c>
    </row>
    <row r="398" spans="1:17" ht="14.4" x14ac:dyDescent="0.3">
      <c r="A398" s="63">
        <v>44778</v>
      </c>
      <c r="B398" s="64">
        <v>14900.40039063</v>
      </c>
      <c r="C398" s="47">
        <f t="shared" si="30"/>
        <v>5.338406518562433E-4</v>
      </c>
      <c r="D398" s="65">
        <v>412.58593428</v>
      </c>
      <c r="E398" s="47">
        <f t="shared" si="31"/>
        <v>-4.5045045059224353E-2</v>
      </c>
      <c r="H398" s="65">
        <v>359.44218669000003</v>
      </c>
      <c r="I398" s="47">
        <f t="shared" si="32"/>
        <v>-2.1544981050428347E-2</v>
      </c>
      <c r="L398" s="65">
        <v>56.540267729999997</v>
      </c>
      <c r="M398" s="47">
        <f t="shared" si="33"/>
        <v>2.1108201840411622E-2</v>
      </c>
      <c r="P398" s="65">
        <v>995.66258011000002</v>
      </c>
      <c r="Q398" s="47">
        <f t="shared" si="34"/>
        <v>-9.5450757956747623E-3</v>
      </c>
    </row>
    <row r="399" spans="1:17" ht="14.4" x14ac:dyDescent="0.3">
      <c r="A399" s="63">
        <v>44781</v>
      </c>
      <c r="B399" s="64">
        <v>14993.34960938</v>
      </c>
      <c r="C399" s="47">
        <f t="shared" si="30"/>
        <v>6.2380349731039342E-3</v>
      </c>
      <c r="D399" s="65">
        <v>393.70819136</v>
      </c>
      <c r="E399" s="47">
        <f t="shared" si="31"/>
        <v>-4.5754693389980394E-2</v>
      </c>
      <c r="H399" s="65">
        <v>362.09649937</v>
      </c>
      <c r="I399" s="47">
        <f t="shared" si="32"/>
        <v>7.3845329743922328E-3</v>
      </c>
      <c r="L399" s="65">
        <v>55.17668072</v>
      </c>
      <c r="M399" s="47">
        <f t="shared" si="33"/>
        <v>-2.4117095032369029E-2</v>
      </c>
      <c r="P399" s="65">
        <v>1012.82841744</v>
      </c>
      <c r="Q399" s="47">
        <f t="shared" si="34"/>
        <v>1.7240617125636515E-2</v>
      </c>
    </row>
    <row r="400" spans="1:17" ht="14.4" x14ac:dyDescent="0.3">
      <c r="A400" s="63">
        <v>44783</v>
      </c>
      <c r="B400" s="64">
        <v>14985.799804689999</v>
      </c>
      <c r="C400" s="47">
        <f t="shared" si="30"/>
        <v>-5.0354356342618978E-4</v>
      </c>
      <c r="D400" s="65">
        <v>388.74547346000003</v>
      </c>
      <c r="E400" s="47">
        <f t="shared" si="31"/>
        <v>-1.2605066414435262E-2</v>
      </c>
      <c r="H400" s="65">
        <v>356.83615355000001</v>
      </c>
      <c r="I400" s="47">
        <f t="shared" si="32"/>
        <v>-1.4527469415341776E-2</v>
      </c>
      <c r="L400" s="65">
        <v>54.00788944</v>
      </c>
      <c r="M400" s="47">
        <f t="shared" si="33"/>
        <v>-2.1182703721000506E-2</v>
      </c>
      <c r="P400" s="65">
        <v>1022.37966549</v>
      </c>
      <c r="Q400" s="47">
        <f t="shared" si="34"/>
        <v>9.4302725768116158E-3</v>
      </c>
    </row>
    <row r="401" spans="1:17" ht="14.4" x14ac:dyDescent="0.3">
      <c r="A401" s="63">
        <v>44784</v>
      </c>
      <c r="B401" s="64">
        <v>15095.15039063</v>
      </c>
      <c r="C401" s="47">
        <f t="shared" si="30"/>
        <v>7.2969469341088722E-3</v>
      </c>
      <c r="D401" s="65">
        <v>384.22066102999997</v>
      </c>
      <c r="E401" s="47">
        <f t="shared" si="31"/>
        <v>-1.1639524416136138E-2</v>
      </c>
      <c r="H401" s="65">
        <v>359.44218669000003</v>
      </c>
      <c r="I401" s="47">
        <f t="shared" si="32"/>
        <v>7.3031645310426274E-3</v>
      </c>
      <c r="L401" s="65">
        <v>53.666988699999997</v>
      </c>
      <c r="M401" s="47">
        <f t="shared" si="33"/>
        <v>-6.3120544708329396E-3</v>
      </c>
      <c r="P401" s="65">
        <v>1017.97816874</v>
      </c>
      <c r="Q401" s="47">
        <f t="shared" si="34"/>
        <v>-4.3051489564696066E-3</v>
      </c>
    </row>
    <row r="402" spans="1:17" ht="14.4" x14ac:dyDescent="0.3">
      <c r="A402" s="63">
        <v>44785</v>
      </c>
      <c r="B402" s="64">
        <v>15140.549804689999</v>
      </c>
      <c r="C402" s="47">
        <f t="shared" si="30"/>
        <v>3.0075496358208387E-3</v>
      </c>
      <c r="D402" s="65">
        <v>382.66372324999998</v>
      </c>
      <c r="E402" s="47">
        <f t="shared" si="31"/>
        <v>-4.0521969220140841E-3</v>
      </c>
      <c r="H402" s="65">
        <v>362.14477890000001</v>
      </c>
      <c r="I402" s="47">
        <f t="shared" si="32"/>
        <v>7.5188509030823525E-3</v>
      </c>
      <c r="L402" s="65">
        <v>54.252446169999999</v>
      </c>
      <c r="M402" s="47">
        <f t="shared" si="33"/>
        <v>1.0909079942471145E-2</v>
      </c>
      <c r="P402" s="65">
        <v>1006.66632199</v>
      </c>
      <c r="Q402" s="47">
        <f t="shared" si="34"/>
        <v>-1.1112072043746424E-2</v>
      </c>
    </row>
    <row r="403" spans="1:17" ht="14.4" x14ac:dyDescent="0.3">
      <c r="A403" s="63">
        <v>44789</v>
      </c>
      <c r="B403" s="64">
        <v>15280.5</v>
      </c>
      <c r="C403" s="47">
        <f t="shared" si="30"/>
        <v>9.2434024599721276E-3</v>
      </c>
      <c r="D403" s="65">
        <v>382.42045323999997</v>
      </c>
      <c r="E403" s="47">
        <f t="shared" si="31"/>
        <v>-6.3572791257526795E-4</v>
      </c>
      <c r="H403" s="65">
        <v>363.49606534999998</v>
      </c>
      <c r="I403" s="47">
        <f t="shared" si="32"/>
        <v>3.731343177456381E-3</v>
      </c>
      <c r="L403" s="65">
        <v>59.27763015</v>
      </c>
      <c r="M403" s="47">
        <f t="shared" si="33"/>
        <v>9.2625942879213108E-2</v>
      </c>
      <c r="P403" s="65">
        <v>1005.83003689</v>
      </c>
      <c r="Q403" s="47">
        <f t="shared" si="34"/>
        <v>-8.3074707252239754E-4</v>
      </c>
    </row>
    <row r="404" spans="1:17" ht="14.4" x14ac:dyDescent="0.3">
      <c r="A404" s="63">
        <v>44790</v>
      </c>
      <c r="B404" s="64">
        <v>15379.049804689999</v>
      </c>
      <c r="C404" s="47">
        <f t="shared" si="30"/>
        <v>6.4493835077386041E-3</v>
      </c>
      <c r="D404" s="65">
        <v>391.81066583</v>
      </c>
      <c r="E404" s="47">
        <f t="shared" si="31"/>
        <v>2.4554681922587696E-2</v>
      </c>
      <c r="H404" s="65">
        <v>360.26262026000001</v>
      </c>
      <c r="I404" s="47">
        <f t="shared" si="32"/>
        <v>-8.8954060256101197E-3</v>
      </c>
      <c r="L404" s="65">
        <v>57.32610322</v>
      </c>
      <c r="M404" s="47">
        <f t="shared" si="33"/>
        <v>-3.2921810893278391E-2</v>
      </c>
      <c r="P404" s="65">
        <v>1017.40597426</v>
      </c>
      <c r="Q404" s="47">
        <f t="shared" si="34"/>
        <v>1.1508840405872744E-2</v>
      </c>
    </row>
    <row r="405" spans="1:17" ht="14.4" x14ac:dyDescent="0.3">
      <c r="A405" s="63">
        <v>44791</v>
      </c>
      <c r="B405" s="64">
        <v>15404.59960938</v>
      </c>
      <c r="C405" s="47">
        <f t="shared" si="30"/>
        <v>1.6613383150765326E-3</v>
      </c>
      <c r="D405" s="65">
        <v>394.43800138</v>
      </c>
      <c r="E405" s="47">
        <f t="shared" si="31"/>
        <v>6.7056253929032028E-3</v>
      </c>
      <c r="H405" s="65">
        <v>358.67004230999999</v>
      </c>
      <c r="I405" s="47">
        <f t="shared" si="32"/>
        <v>-4.4206028059493585E-3</v>
      </c>
      <c r="L405" s="65">
        <v>59.228842929999999</v>
      </c>
      <c r="M405" s="47">
        <f t="shared" si="33"/>
        <v>3.3191506192176812E-2</v>
      </c>
      <c r="P405" s="65">
        <v>1079.37904789</v>
      </c>
      <c r="Q405" s="47">
        <f t="shared" si="34"/>
        <v>6.091282653915564E-2</v>
      </c>
    </row>
    <row r="406" spans="1:17" ht="14.4" x14ac:dyDescent="0.3">
      <c r="A406" s="63">
        <v>44792</v>
      </c>
      <c r="B406" s="64">
        <v>15236.65039063</v>
      </c>
      <c r="C406" s="47">
        <f t="shared" si="30"/>
        <v>-1.0902537099875986E-2</v>
      </c>
      <c r="D406" s="65">
        <v>394.87586793999998</v>
      </c>
      <c r="E406" s="47">
        <f t="shared" si="31"/>
        <v>1.1101023696196144E-3</v>
      </c>
      <c r="H406" s="65">
        <v>354.76094433999998</v>
      </c>
      <c r="I406" s="47">
        <f t="shared" si="32"/>
        <v>-1.0898869459025962E-2</v>
      </c>
      <c r="L406" s="65">
        <v>57.423677669999996</v>
      </c>
      <c r="M406" s="47">
        <f t="shared" si="33"/>
        <v>-3.0477807275982927E-2</v>
      </c>
      <c r="P406" s="65">
        <v>1081.3157066599999</v>
      </c>
      <c r="Q406" s="47">
        <f t="shared" si="34"/>
        <v>1.7942341699013209E-3</v>
      </c>
    </row>
    <row r="407" spans="1:17" ht="14.4" x14ac:dyDescent="0.3">
      <c r="A407" s="63">
        <v>44795</v>
      </c>
      <c r="B407" s="64">
        <v>15001.75</v>
      </c>
      <c r="C407" s="47">
        <f t="shared" si="30"/>
        <v>-1.5416799927000735E-2</v>
      </c>
      <c r="D407" s="65">
        <v>390.39971924999998</v>
      </c>
      <c r="E407" s="47">
        <f t="shared" si="31"/>
        <v>-1.1335584302356372E-2</v>
      </c>
      <c r="H407" s="65">
        <v>348.39061322999999</v>
      </c>
      <c r="I407" s="47">
        <f t="shared" si="32"/>
        <v>-1.7956686641060204E-2</v>
      </c>
      <c r="L407" s="65">
        <v>55.228209630000002</v>
      </c>
      <c r="M407" s="47">
        <f t="shared" si="33"/>
        <v>-3.8232800981797377E-2</v>
      </c>
      <c r="P407" s="65">
        <v>1096.67693001</v>
      </c>
      <c r="Q407" s="47">
        <f t="shared" si="34"/>
        <v>1.4206048479077582E-2</v>
      </c>
    </row>
    <row r="408" spans="1:17" ht="14.4" x14ac:dyDescent="0.3">
      <c r="A408" s="63">
        <v>44796</v>
      </c>
      <c r="B408" s="64">
        <v>15090.5</v>
      </c>
      <c r="C408" s="47">
        <f t="shared" si="30"/>
        <v>5.9159764694118877E-3</v>
      </c>
      <c r="D408" s="65">
        <v>390.49700779</v>
      </c>
      <c r="E408" s="47">
        <f t="shared" si="31"/>
        <v>2.4920238207881695E-4</v>
      </c>
      <c r="H408" s="65">
        <v>347.81149046000002</v>
      </c>
      <c r="I408" s="47">
        <f t="shared" si="32"/>
        <v>-1.6622800615401223E-3</v>
      </c>
      <c r="L408" s="65">
        <v>56.008825199999997</v>
      </c>
      <c r="M408" s="47">
        <f t="shared" si="33"/>
        <v>1.4134363131264038E-2</v>
      </c>
      <c r="P408" s="65">
        <v>1098.5255592599999</v>
      </c>
      <c r="Q408" s="47">
        <f t="shared" si="34"/>
        <v>1.6856643915934555E-3</v>
      </c>
    </row>
    <row r="409" spans="1:17" ht="14.4" x14ac:dyDescent="0.3">
      <c r="A409" s="63">
        <v>44797</v>
      </c>
      <c r="B409" s="64">
        <v>15140.40039063</v>
      </c>
      <c r="C409" s="47">
        <f t="shared" si="30"/>
        <v>3.3067420317418605E-3</v>
      </c>
      <c r="D409" s="65">
        <v>394.43800138</v>
      </c>
      <c r="E409" s="47">
        <f t="shared" si="31"/>
        <v>1.009225041775319E-2</v>
      </c>
      <c r="H409" s="65">
        <v>358.13916046999998</v>
      </c>
      <c r="I409" s="47">
        <f t="shared" si="32"/>
        <v>2.9693297355820603E-2</v>
      </c>
      <c r="L409" s="65">
        <v>59.08247626</v>
      </c>
      <c r="M409" s="47">
        <f t="shared" si="33"/>
        <v>5.4877977694129498E-2</v>
      </c>
      <c r="P409" s="65">
        <v>1082.85623001</v>
      </c>
      <c r="Q409" s="47">
        <f t="shared" si="34"/>
        <v>-1.4263964199936585E-2</v>
      </c>
    </row>
    <row r="410" spans="1:17" ht="14.4" x14ac:dyDescent="0.3">
      <c r="A410" s="63">
        <v>44798</v>
      </c>
      <c r="B410" s="64">
        <v>15100.65039063</v>
      </c>
      <c r="C410" s="47">
        <f t="shared" si="30"/>
        <v>-2.6254259447854311E-3</v>
      </c>
      <c r="D410" s="65">
        <v>394.53530939000001</v>
      </c>
      <c r="E410" s="47">
        <f t="shared" si="31"/>
        <v>2.4670039311525116E-4</v>
      </c>
      <c r="H410" s="65">
        <v>357.75307863</v>
      </c>
      <c r="I410" s="47">
        <f t="shared" si="32"/>
        <v>-1.0780218490860083E-3</v>
      </c>
      <c r="L410" s="65">
        <v>58.789748920000001</v>
      </c>
      <c r="M410" s="47">
        <f t="shared" si="33"/>
        <v>-4.9545543540154835E-3</v>
      </c>
      <c r="P410" s="65">
        <v>1097.24912449</v>
      </c>
      <c r="Q410" s="47">
        <f t="shared" si="34"/>
        <v>1.3291602413246562E-2</v>
      </c>
    </row>
    <row r="411" spans="1:17" ht="14.4" x14ac:dyDescent="0.3">
      <c r="A411" s="63">
        <v>44799</v>
      </c>
      <c r="B411" s="64">
        <v>15147.549804689999</v>
      </c>
      <c r="C411" s="47">
        <f t="shared" si="30"/>
        <v>3.1057876877342849E-3</v>
      </c>
      <c r="D411" s="65">
        <v>399.44935383000001</v>
      </c>
      <c r="E411" s="47">
        <f t="shared" si="31"/>
        <v>1.2455271614593144E-2</v>
      </c>
      <c r="H411" s="65">
        <v>377.05717079999999</v>
      </c>
      <c r="I411" s="47">
        <f t="shared" si="32"/>
        <v>5.3959262192583068E-2</v>
      </c>
      <c r="L411" s="65">
        <v>57.423677669999996</v>
      </c>
      <c r="M411" s="47">
        <f t="shared" si="33"/>
        <v>-2.3236555268486114E-2</v>
      </c>
      <c r="P411" s="65">
        <v>1077.48640439</v>
      </c>
      <c r="Q411" s="47">
        <f t="shared" si="34"/>
        <v>-1.8011151395710301E-2</v>
      </c>
    </row>
    <row r="412" spans="1:17" ht="14.4" x14ac:dyDescent="0.3">
      <c r="A412" s="63">
        <v>44802</v>
      </c>
      <c r="B412" s="64">
        <v>14972.75</v>
      </c>
      <c r="C412" s="47">
        <f t="shared" si="30"/>
        <v>-1.1539807225844356E-2</v>
      </c>
      <c r="D412" s="65">
        <v>397.60051148999997</v>
      </c>
      <c r="E412" s="47">
        <f t="shared" si="31"/>
        <v>-4.6284774834981501E-3</v>
      </c>
      <c r="H412" s="65">
        <v>396.4577931</v>
      </c>
      <c r="I412" s="47">
        <f t="shared" si="32"/>
        <v>5.145273396826755E-2</v>
      </c>
      <c r="L412" s="65">
        <v>56.106399639999999</v>
      </c>
      <c r="M412" s="47">
        <f t="shared" si="33"/>
        <v>-2.2939631933190929E-2</v>
      </c>
      <c r="P412" s="65">
        <v>1066.9228121900001</v>
      </c>
      <c r="Q412" s="47">
        <f t="shared" si="34"/>
        <v>-9.8039215687183434E-3</v>
      </c>
    </row>
    <row r="413" spans="1:17" ht="14.4" x14ac:dyDescent="0.3">
      <c r="A413" s="63">
        <v>44803</v>
      </c>
      <c r="B413" s="64">
        <v>15325.049804689999</v>
      </c>
      <c r="C413" s="47">
        <f t="shared" si="30"/>
        <v>2.3529398720341987E-2</v>
      </c>
      <c r="D413" s="65">
        <v>395.80030369999997</v>
      </c>
      <c r="E413" s="47">
        <f t="shared" si="31"/>
        <v>-4.5276797639262067E-3</v>
      </c>
      <c r="H413" s="65">
        <v>394.14131169000001</v>
      </c>
      <c r="I413" s="47">
        <f t="shared" si="32"/>
        <v>-5.842945832611468E-3</v>
      </c>
      <c r="L413" s="65">
        <v>57.082163110000003</v>
      </c>
      <c r="M413" s="47">
        <f t="shared" si="33"/>
        <v>1.7391304312179612E-2</v>
      </c>
      <c r="P413" s="65">
        <v>1085.32106901</v>
      </c>
      <c r="Q413" s="47">
        <f t="shared" si="34"/>
        <v>1.7244224802200225E-2</v>
      </c>
    </row>
    <row r="414" spans="1:17" ht="14.4" x14ac:dyDescent="0.3">
      <c r="A414" s="63">
        <v>44805</v>
      </c>
      <c r="B414" s="64">
        <v>15211.200195310001</v>
      </c>
      <c r="C414" s="47">
        <f t="shared" si="30"/>
        <v>-7.4289878878668336E-3</v>
      </c>
      <c r="D414" s="65">
        <v>399.10876608000001</v>
      </c>
      <c r="E414" s="47">
        <f t="shared" si="31"/>
        <v>8.3589182450645172E-3</v>
      </c>
      <c r="H414" s="65">
        <v>388.54310564999997</v>
      </c>
      <c r="I414" s="47">
        <f t="shared" si="32"/>
        <v>-1.4203550538754883E-2</v>
      </c>
      <c r="L414" s="65">
        <v>58.106712799999997</v>
      </c>
      <c r="M414" s="47">
        <f t="shared" si="33"/>
        <v>1.7948683689958278E-2</v>
      </c>
      <c r="P414" s="65">
        <v>1065.1181982099999</v>
      </c>
      <c r="Q414" s="47">
        <f t="shared" si="34"/>
        <v>-1.8614649044294773E-2</v>
      </c>
    </row>
    <row r="415" spans="1:17" ht="14.4" x14ac:dyDescent="0.3">
      <c r="A415" s="63">
        <v>44806</v>
      </c>
      <c r="B415" s="64">
        <v>15201.59960938</v>
      </c>
      <c r="C415" s="47">
        <f t="shared" si="30"/>
        <v>-6.3115242760136692E-4</v>
      </c>
      <c r="D415" s="65">
        <v>391.90798357</v>
      </c>
      <c r="E415" s="47">
        <f t="shared" si="31"/>
        <v>-1.804215572793666E-2</v>
      </c>
      <c r="H415" s="65">
        <v>386.90227712000001</v>
      </c>
      <c r="I415" s="47">
        <f t="shared" si="32"/>
        <v>-4.2230282976067901E-3</v>
      </c>
      <c r="L415" s="65">
        <v>61.424310970000001</v>
      </c>
      <c r="M415" s="47">
        <f t="shared" si="33"/>
        <v>5.7094920881499256E-2</v>
      </c>
      <c r="P415" s="65">
        <v>1075.9458810399999</v>
      </c>
      <c r="Q415" s="47">
        <f t="shared" si="34"/>
        <v>1.0165710104471648E-2</v>
      </c>
    </row>
    <row r="416" spans="1:17" ht="14.4" x14ac:dyDescent="0.3">
      <c r="A416" s="63">
        <v>44809</v>
      </c>
      <c r="B416" s="64">
        <v>15294.40039063</v>
      </c>
      <c r="C416" s="47">
        <f t="shared" si="30"/>
        <v>6.1046721157382855E-3</v>
      </c>
      <c r="D416" s="65">
        <v>390.9835478</v>
      </c>
      <c r="E416" s="47">
        <f t="shared" si="31"/>
        <v>-2.3588082120171716E-3</v>
      </c>
      <c r="H416" s="65">
        <v>389.99091256000003</v>
      </c>
      <c r="I416" s="47">
        <f t="shared" si="32"/>
        <v>7.9829859441278295E-3</v>
      </c>
      <c r="L416" s="65">
        <v>72.108921839999994</v>
      </c>
      <c r="M416" s="47">
        <f t="shared" si="33"/>
        <v>0.17394759015234906</v>
      </c>
      <c r="P416" s="65">
        <v>1077.7064797400001</v>
      </c>
      <c r="Q416" s="47">
        <f t="shared" si="34"/>
        <v>1.6363264463621352E-3</v>
      </c>
    </row>
    <row r="417" spans="1:17" ht="14.4" x14ac:dyDescent="0.3">
      <c r="A417" s="63">
        <v>44810</v>
      </c>
      <c r="B417" s="64">
        <v>15313.049804689999</v>
      </c>
      <c r="C417" s="47">
        <f t="shared" si="30"/>
        <v>1.219362223014997E-3</v>
      </c>
      <c r="D417" s="65">
        <v>392.92970787000002</v>
      </c>
      <c r="E417" s="47">
        <f t="shared" si="31"/>
        <v>4.9776009270741106E-3</v>
      </c>
      <c r="H417" s="65">
        <v>414.26582778</v>
      </c>
      <c r="I417" s="47">
        <f t="shared" si="32"/>
        <v>6.2244822733568794E-2</v>
      </c>
      <c r="L417" s="65">
        <v>68.108292539999994</v>
      </c>
      <c r="M417" s="47">
        <f t="shared" si="33"/>
        <v>-5.5480364952298911E-2</v>
      </c>
      <c r="P417" s="65">
        <v>1082.4600956100001</v>
      </c>
      <c r="Q417" s="47">
        <f t="shared" si="34"/>
        <v>4.4108632168071704E-3</v>
      </c>
    </row>
    <row r="418" spans="1:17" ht="14.4" x14ac:dyDescent="0.3">
      <c r="A418" s="63">
        <v>44811</v>
      </c>
      <c r="B418" s="64">
        <v>15319.40039063</v>
      </c>
      <c r="C418" s="47">
        <f t="shared" si="30"/>
        <v>4.1471725234365486E-4</v>
      </c>
      <c r="D418" s="65">
        <v>392.19989785000001</v>
      </c>
      <c r="E418" s="47">
        <f t="shared" si="31"/>
        <v>-1.8573551589066151E-3</v>
      </c>
      <c r="H418" s="65">
        <v>406.6889716</v>
      </c>
      <c r="I418" s="47">
        <f t="shared" si="32"/>
        <v>-1.8289841140418095E-2</v>
      </c>
      <c r="L418" s="65">
        <v>68.25465122</v>
      </c>
      <c r="M418" s="47">
        <f t="shared" si="33"/>
        <v>2.148911307885859E-3</v>
      </c>
      <c r="P418" s="65">
        <v>1080.0392729099999</v>
      </c>
      <c r="Q418" s="47">
        <f t="shared" si="34"/>
        <v>-2.2364082609770408E-3</v>
      </c>
    </row>
    <row r="419" spans="1:17" ht="14.4" x14ac:dyDescent="0.3">
      <c r="A419" s="63">
        <v>44812</v>
      </c>
      <c r="B419" s="64">
        <v>15440.700195310001</v>
      </c>
      <c r="C419" s="47">
        <f t="shared" si="30"/>
        <v>7.9180517244128445E-3</v>
      </c>
      <c r="D419" s="65">
        <v>395.65435143000002</v>
      </c>
      <c r="E419" s="47">
        <f t="shared" si="31"/>
        <v>8.8078900553951733E-3</v>
      </c>
      <c r="H419" s="65">
        <v>406.83374264000003</v>
      </c>
      <c r="I419" s="47">
        <f t="shared" si="32"/>
        <v>3.5597483607796576E-4</v>
      </c>
      <c r="L419" s="65">
        <v>69.035264780000006</v>
      </c>
      <c r="M419" s="47">
        <f t="shared" si="33"/>
        <v>1.1436781904927029E-2</v>
      </c>
      <c r="P419" s="65">
        <v>1063.66570439</v>
      </c>
      <c r="Q419" s="47">
        <f t="shared" si="34"/>
        <v>-1.5160160311470827E-2</v>
      </c>
    </row>
    <row r="420" spans="1:17" ht="14.4" x14ac:dyDescent="0.3">
      <c r="A420" s="63">
        <v>44813</v>
      </c>
      <c r="B420" s="64">
        <v>15467.40039063</v>
      </c>
      <c r="C420" s="47">
        <f t="shared" si="30"/>
        <v>1.7292088430103103E-3</v>
      </c>
      <c r="D420" s="65">
        <v>394.29203938000001</v>
      </c>
      <c r="E420" s="47">
        <f t="shared" si="31"/>
        <v>-3.4431873302448457E-3</v>
      </c>
      <c r="H420" s="65">
        <v>396.11996183000002</v>
      </c>
      <c r="I420" s="47">
        <f t="shared" si="32"/>
        <v>-2.6334543296425705E-2</v>
      </c>
      <c r="L420" s="65">
        <v>67.083737859999999</v>
      </c>
      <c r="M420" s="47">
        <f t="shared" si="33"/>
        <v>-2.8268551242891404E-2</v>
      </c>
      <c r="P420" s="65">
        <v>1060.27655179</v>
      </c>
      <c r="Q420" s="47">
        <f t="shared" si="34"/>
        <v>-3.1862948913480293E-3</v>
      </c>
    </row>
    <row r="421" spans="1:17" ht="14.4" x14ac:dyDescent="0.3">
      <c r="A421" s="63">
        <v>44816</v>
      </c>
      <c r="B421" s="64">
        <v>15577.40039063</v>
      </c>
      <c r="C421" s="47">
        <f t="shared" si="30"/>
        <v>7.1117315917312851E-3</v>
      </c>
      <c r="D421" s="65">
        <v>431.36636920000001</v>
      </c>
      <c r="E421" s="47">
        <f t="shared" si="31"/>
        <v>9.402758898784036E-2</v>
      </c>
      <c r="H421" s="65">
        <v>409.58458543</v>
      </c>
      <c r="I421" s="47">
        <f t="shared" si="32"/>
        <v>3.3991277636693518E-2</v>
      </c>
      <c r="L421" s="65">
        <v>67.766769980000007</v>
      </c>
      <c r="M421" s="47">
        <f t="shared" si="33"/>
        <v>1.0181783868773886E-2</v>
      </c>
      <c r="P421" s="65">
        <v>1059.26420764</v>
      </c>
      <c r="Q421" s="47">
        <f t="shared" si="34"/>
        <v>-9.5479254755836962E-4</v>
      </c>
    </row>
    <row r="422" spans="1:17" ht="14.4" x14ac:dyDescent="0.3">
      <c r="A422" s="63">
        <v>44817</v>
      </c>
      <c r="B422" s="64">
        <v>15669.84960938</v>
      </c>
      <c r="C422" s="47">
        <f t="shared" si="30"/>
        <v>5.934829716876866E-3</v>
      </c>
      <c r="D422" s="65">
        <v>417.69460445999999</v>
      </c>
      <c r="E422" s="47">
        <f t="shared" si="31"/>
        <v>-3.1694090490538951E-2</v>
      </c>
      <c r="H422" s="65">
        <v>405.43418630999997</v>
      </c>
      <c r="I422" s="47">
        <f t="shared" si="32"/>
        <v>-1.013319169627136E-2</v>
      </c>
      <c r="L422" s="65">
        <v>67.47404564</v>
      </c>
      <c r="M422" s="47">
        <f t="shared" si="33"/>
        <v>-4.3195852493249642E-3</v>
      </c>
      <c r="P422" s="65">
        <v>1061.42094176</v>
      </c>
      <c r="Q422" s="47">
        <f t="shared" si="34"/>
        <v>2.0360681541435888E-3</v>
      </c>
    </row>
    <row r="423" spans="1:17" ht="14.4" x14ac:dyDescent="0.3">
      <c r="A423" s="63">
        <v>44818</v>
      </c>
      <c r="B423" s="64">
        <v>15630.700195310001</v>
      </c>
      <c r="C423" s="47">
        <f t="shared" si="30"/>
        <v>-2.4983911808933446E-3</v>
      </c>
      <c r="D423" s="65">
        <v>423.72771039999998</v>
      </c>
      <c r="E423" s="47">
        <f t="shared" si="31"/>
        <v>1.4443820618175396E-2</v>
      </c>
      <c r="H423" s="65">
        <v>413.15582318000003</v>
      </c>
      <c r="I423" s="47">
        <f t="shared" si="32"/>
        <v>1.9045352194587695E-2</v>
      </c>
      <c r="L423" s="65">
        <v>70.157394909999994</v>
      </c>
      <c r="M423" s="47">
        <f t="shared" si="33"/>
        <v>3.976861390995734E-2</v>
      </c>
      <c r="P423" s="65">
        <v>1042.3624599100001</v>
      </c>
      <c r="Q423" s="47">
        <f t="shared" si="34"/>
        <v>-1.7955630137085898E-2</v>
      </c>
    </row>
    <row r="424" spans="1:17" ht="14.4" x14ac:dyDescent="0.3">
      <c r="A424" s="63">
        <v>44819</v>
      </c>
      <c r="B424" s="64">
        <v>15580.34960938</v>
      </c>
      <c r="C424" s="47">
        <f t="shared" si="30"/>
        <v>-3.221262342752107E-3</v>
      </c>
      <c r="D424" s="65">
        <v>438.61582518</v>
      </c>
      <c r="E424" s="47">
        <f t="shared" si="31"/>
        <v>3.5136042355940367E-2</v>
      </c>
      <c r="H424" s="65">
        <v>425.12437963000002</v>
      </c>
      <c r="I424" s="47">
        <f t="shared" si="32"/>
        <v>2.8968625827126893E-2</v>
      </c>
      <c r="L424" s="65">
        <v>70.84042504</v>
      </c>
      <c r="M424" s="47">
        <f t="shared" si="33"/>
        <v>9.7356826158698784E-3</v>
      </c>
      <c r="P424" s="65">
        <v>1038.84126251</v>
      </c>
      <c r="Q424" s="47">
        <f t="shared" si="34"/>
        <v>-3.3780930678414256E-3</v>
      </c>
    </row>
    <row r="425" spans="1:17" ht="14.4" x14ac:dyDescent="0.3">
      <c r="A425" s="63">
        <v>44820</v>
      </c>
      <c r="B425" s="64">
        <v>15243.950195310001</v>
      </c>
      <c r="C425" s="47">
        <f t="shared" si="30"/>
        <v>-2.1591262231206554E-2</v>
      </c>
      <c r="D425" s="65">
        <v>417.74324873</v>
      </c>
      <c r="E425" s="47">
        <f t="shared" si="31"/>
        <v>-4.7587376587322816E-2</v>
      </c>
      <c r="H425" s="65">
        <v>397.47124828</v>
      </c>
      <c r="I425" s="47">
        <f t="shared" si="32"/>
        <v>-6.5047154844583344E-2</v>
      </c>
      <c r="L425" s="65">
        <v>68.108292539999994</v>
      </c>
      <c r="M425" s="47">
        <f t="shared" si="33"/>
        <v>-3.856742105171318E-2</v>
      </c>
      <c r="P425" s="65">
        <v>986.46345119</v>
      </c>
      <c r="Q425" s="47">
        <f t="shared" si="34"/>
        <v>-5.0419455994120899E-2</v>
      </c>
    </row>
    <row r="426" spans="1:17" ht="14.4" x14ac:dyDescent="0.3">
      <c r="A426" s="63">
        <v>44823</v>
      </c>
      <c r="B426" s="64">
        <v>15293.549804689999</v>
      </c>
      <c r="C426" s="47">
        <f t="shared" si="30"/>
        <v>3.2537241820207452E-3</v>
      </c>
      <c r="D426" s="65">
        <v>403.09840394999998</v>
      </c>
      <c r="E426" s="47">
        <f t="shared" si="31"/>
        <v>-3.505704718034941E-2</v>
      </c>
      <c r="H426" s="65">
        <v>414.26582778</v>
      </c>
      <c r="I426" s="47">
        <f t="shared" si="32"/>
        <v>4.2253570724111844E-2</v>
      </c>
      <c r="L426" s="65">
        <v>68.498592329999994</v>
      </c>
      <c r="M426" s="47">
        <f t="shared" si="33"/>
        <v>5.7305766367696798E-3</v>
      </c>
      <c r="P426" s="65">
        <v>1006.05011224</v>
      </c>
      <c r="Q426" s="47">
        <f t="shared" si="34"/>
        <v>1.9855435116599596E-2</v>
      </c>
    </row>
    <row r="427" spans="1:17" ht="14.4" x14ac:dyDescent="0.3">
      <c r="A427" s="63">
        <v>44824</v>
      </c>
      <c r="B427" s="64">
        <v>15470.34960938</v>
      </c>
      <c r="C427" s="47">
        <f t="shared" si="30"/>
        <v>1.1560416446663169E-2</v>
      </c>
      <c r="D427" s="65">
        <v>412.63457855000001</v>
      </c>
      <c r="E427" s="47">
        <f t="shared" si="31"/>
        <v>2.3657187690534487E-2</v>
      </c>
      <c r="H427" s="65">
        <v>413.63842548000002</v>
      </c>
      <c r="I427" s="47">
        <f t="shared" si="32"/>
        <v>-1.5144920433387554E-3</v>
      </c>
      <c r="L427" s="65">
        <v>70.547701700000005</v>
      </c>
      <c r="M427" s="47">
        <f t="shared" si="33"/>
        <v>2.9914620144720461E-2</v>
      </c>
      <c r="P427" s="65">
        <v>996.32280410999999</v>
      </c>
      <c r="Q427" s="47">
        <f t="shared" si="34"/>
        <v>-9.6688107397968626E-3</v>
      </c>
    </row>
    <row r="428" spans="1:17" ht="14.4" x14ac:dyDescent="0.3">
      <c r="A428" s="63">
        <v>44825</v>
      </c>
      <c r="B428" s="64">
        <v>15361.25</v>
      </c>
      <c r="C428" s="47">
        <f t="shared" si="30"/>
        <v>-7.0521747817419156E-3</v>
      </c>
      <c r="D428" s="65">
        <v>427.37676053000001</v>
      </c>
      <c r="E428" s="47">
        <f t="shared" si="31"/>
        <v>3.5726967022017719E-2</v>
      </c>
      <c r="H428" s="65">
        <v>415.90665631000002</v>
      </c>
      <c r="I428" s="47">
        <f t="shared" si="32"/>
        <v>5.4836076396138633E-3</v>
      </c>
      <c r="L428" s="65">
        <v>69.279205899999994</v>
      </c>
      <c r="M428" s="47">
        <f t="shared" si="33"/>
        <v>-1.7980682140351201E-2</v>
      </c>
      <c r="P428" s="65">
        <v>986.55148173999999</v>
      </c>
      <c r="Q428" s="47">
        <f t="shared" si="34"/>
        <v>-9.8073860496734611E-3</v>
      </c>
    </row>
    <row r="429" spans="1:17" ht="14.4" x14ac:dyDescent="0.3">
      <c r="A429" s="63">
        <v>44826</v>
      </c>
      <c r="B429" s="64">
        <v>15335.299804689999</v>
      </c>
      <c r="C429" s="47">
        <f t="shared" si="30"/>
        <v>-1.6893283626007172E-3</v>
      </c>
      <c r="D429" s="65">
        <v>435.59926734999999</v>
      </c>
      <c r="E429" s="47">
        <f t="shared" si="31"/>
        <v>1.9239480428938194E-2</v>
      </c>
      <c r="H429" s="65">
        <v>417.83706553000002</v>
      </c>
      <c r="I429" s="47">
        <f t="shared" si="32"/>
        <v>4.641448244966595E-3</v>
      </c>
      <c r="L429" s="65">
        <v>69.132839230000002</v>
      </c>
      <c r="M429" s="47">
        <f t="shared" si="33"/>
        <v>-2.1127070972964956E-3</v>
      </c>
      <c r="P429" s="65">
        <v>977.48439863999999</v>
      </c>
      <c r="Q429" s="47">
        <f t="shared" si="34"/>
        <v>-9.1906841840713183E-3</v>
      </c>
    </row>
    <row r="430" spans="1:17" ht="14.4" x14ac:dyDescent="0.3">
      <c r="A430" s="63">
        <v>44827</v>
      </c>
      <c r="B430" s="64">
        <v>15057.65039063</v>
      </c>
      <c r="C430" s="47">
        <f t="shared" si="30"/>
        <v>-1.8105248517872763E-2</v>
      </c>
      <c r="D430" s="65">
        <v>424.45752041999998</v>
      </c>
      <c r="E430" s="47">
        <f t="shared" si="31"/>
        <v>-2.5577974448353968E-2</v>
      </c>
      <c r="H430" s="65">
        <v>405.62723688</v>
      </c>
      <c r="I430" s="47">
        <f t="shared" si="32"/>
        <v>-2.9221506795986674E-2</v>
      </c>
      <c r="L430" s="65">
        <v>70.059819469999994</v>
      </c>
      <c r="M430" s="47">
        <f t="shared" si="33"/>
        <v>1.3408681754209395E-2</v>
      </c>
      <c r="P430" s="65">
        <v>948.03838466000002</v>
      </c>
      <c r="Q430" s="47">
        <f t="shared" si="34"/>
        <v>-3.0124280265719783E-2</v>
      </c>
    </row>
    <row r="431" spans="1:17" ht="14.4" x14ac:dyDescent="0.3">
      <c r="A431" s="63">
        <v>44830</v>
      </c>
      <c r="B431" s="64">
        <v>14725.700195310001</v>
      </c>
      <c r="C431" s="47">
        <f t="shared" si="30"/>
        <v>-2.2045285068284182E-2</v>
      </c>
      <c r="D431" s="65">
        <v>418.13250020999999</v>
      </c>
      <c r="E431" s="47">
        <f t="shared" si="31"/>
        <v>-1.4901421003782445E-2</v>
      </c>
      <c r="H431" s="65">
        <v>391.92132178000003</v>
      </c>
      <c r="I431" s="47">
        <f t="shared" si="32"/>
        <v>-3.3789434864934131E-2</v>
      </c>
      <c r="L431" s="65">
        <v>68.644958000000003</v>
      </c>
      <c r="M431" s="47">
        <f t="shared" si="33"/>
        <v>-2.0195048755525913E-2</v>
      </c>
      <c r="P431" s="65">
        <v>939.23539115999995</v>
      </c>
      <c r="Q431" s="47">
        <f t="shared" si="34"/>
        <v>-9.2854821518193464E-3</v>
      </c>
    </row>
    <row r="432" spans="1:17" ht="14.4" x14ac:dyDescent="0.3">
      <c r="A432" s="63">
        <v>44831</v>
      </c>
      <c r="B432" s="64">
        <v>14727.299804689999</v>
      </c>
      <c r="C432" s="47">
        <f t="shared" si="30"/>
        <v>1.0862705058389821E-4</v>
      </c>
      <c r="D432" s="65">
        <v>418.76500222999999</v>
      </c>
      <c r="E432" s="47">
        <f t="shared" si="31"/>
        <v>1.5126832276428637E-3</v>
      </c>
      <c r="H432" s="65">
        <v>410.40500935</v>
      </c>
      <c r="I432" s="47">
        <f t="shared" si="32"/>
        <v>4.7161730027986515E-2</v>
      </c>
      <c r="L432" s="65">
        <v>68.693750219999998</v>
      </c>
      <c r="M432" s="47">
        <f t="shared" si="33"/>
        <v>7.1079102415638751E-4</v>
      </c>
      <c r="P432" s="65">
        <v>945.88165156000002</v>
      </c>
      <c r="Q432" s="47">
        <f t="shared" si="34"/>
        <v>7.0762457021467107E-3</v>
      </c>
    </row>
    <row r="433" spans="1:17" ht="14.4" x14ac:dyDescent="0.3">
      <c r="A433" s="63">
        <v>44832</v>
      </c>
      <c r="B433" s="64">
        <v>14620.59960938</v>
      </c>
      <c r="C433" s="47">
        <f t="shared" si="30"/>
        <v>-7.2450616694866854E-3</v>
      </c>
      <c r="D433" s="65">
        <v>417.69460445999999</v>
      </c>
      <c r="E433" s="47">
        <f t="shared" si="31"/>
        <v>-2.5560822043387832E-3</v>
      </c>
      <c r="H433" s="65">
        <v>400.22208141999999</v>
      </c>
      <c r="I433" s="47">
        <f t="shared" si="32"/>
        <v>-2.481189970397224E-2</v>
      </c>
      <c r="L433" s="65">
        <v>68.937690340000003</v>
      </c>
      <c r="M433" s="47">
        <f t="shared" si="33"/>
        <v>3.5511253821309818E-3</v>
      </c>
      <c r="P433" s="65">
        <v>960.49462036</v>
      </c>
      <c r="Q433" s="47">
        <f t="shared" si="34"/>
        <v>1.54490456347256E-2</v>
      </c>
    </row>
    <row r="434" spans="1:17" ht="14.4" x14ac:dyDescent="0.3">
      <c r="A434" s="63">
        <v>44833</v>
      </c>
      <c r="B434" s="64">
        <v>14602.5</v>
      </c>
      <c r="C434" s="47">
        <f t="shared" si="30"/>
        <v>-1.2379526054723256E-3</v>
      </c>
      <c r="D434" s="65">
        <v>431.75562067999999</v>
      </c>
      <c r="E434" s="47">
        <f t="shared" si="31"/>
        <v>3.366338963889226E-2</v>
      </c>
      <c r="H434" s="65">
        <v>395.20303675999997</v>
      </c>
      <c r="I434" s="47">
        <f t="shared" si="32"/>
        <v>-1.2540649037135365E-2</v>
      </c>
      <c r="L434" s="65">
        <v>72.450437410000006</v>
      </c>
      <c r="M434" s="47">
        <f t="shared" si="33"/>
        <v>5.0955392509890673E-2</v>
      </c>
      <c r="P434" s="65">
        <v>1000.32816646</v>
      </c>
      <c r="Q434" s="47">
        <f t="shared" si="34"/>
        <v>4.1471909634507087E-2</v>
      </c>
    </row>
    <row r="435" spans="1:17" ht="14.4" x14ac:dyDescent="0.3">
      <c r="A435" s="63">
        <v>44834</v>
      </c>
      <c r="B435" s="64">
        <v>14829.34960938</v>
      </c>
      <c r="C435" s="47">
        <f t="shared" si="30"/>
        <v>1.553498437801748E-2</v>
      </c>
      <c r="D435" s="65">
        <v>437.64274515</v>
      </c>
      <c r="E435" s="47">
        <f t="shared" si="31"/>
        <v>1.3635316341054304E-2</v>
      </c>
      <c r="H435" s="65">
        <v>406.73721253000002</v>
      </c>
      <c r="I435" s="47">
        <f t="shared" si="32"/>
        <v>2.9185443170075098E-2</v>
      </c>
      <c r="L435" s="65">
        <v>71.035582930000004</v>
      </c>
      <c r="M435" s="47">
        <f t="shared" si="33"/>
        <v>-1.952858437545768E-2</v>
      </c>
      <c r="P435" s="65">
        <v>1058.2958787600001</v>
      </c>
      <c r="Q435" s="47">
        <f t="shared" si="34"/>
        <v>5.7948695481742085E-2</v>
      </c>
    </row>
    <row r="436" spans="1:17" ht="14.4" x14ac:dyDescent="0.3">
      <c r="A436" s="63">
        <v>44837</v>
      </c>
      <c r="B436" s="64">
        <v>14638.5</v>
      </c>
      <c r="C436" s="47">
        <f t="shared" si="30"/>
        <v>-1.2869722166323649E-2</v>
      </c>
      <c r="D436" s="65">
        <v>435.64794081000002</v>
      </c>
      <c r="E436" s="47">
        <f t="shared" si="31"/>
        <v>-4.5580655959834848E-3</v>
      </c>
      <c r="H436" s="65">
        <v>409.43980474</v>
      </c>
      <c r="I436" s="47">
        <f t="shared" si="32"/>
        <v>6.6445658935143648E-3</v>
      </c>
      <c r="L436" s="65">
        <v>70.498910480000006</v>
      </c>
      <c r="M436" s="47">
        <f t="shared" si="33"/>
        <v>-7.5549805866849118E-3</v>
      </c>
      <c r="P436" s="65">
        <v>1048.4365258400001</v>
      </c>
      <c r="Q436" s="47">
        <f t="shared" si="34"/>
        <v>-9.316253722496004E-3</v>
      </c>
    </row>
    <row r="437" spans="1:17" ht="14.4" x14ac:dyDescent="0.3">
      <c r="A437" s="63">
        <v>44838</v>
      </c>
      <c r="B437" s="64">
        <v>14965.799804689999</v>
      </c>
      <c r="C437" s="47">
        <f t="shared" si="30"/>
        <v>2.2358834900433777E-2</v>
      </c>
      <c r="D437" s="65">
        <v>430.29600062999998</v>
      </c>
      <c r="E437" s="47">
        <f t="shared" si="31"/>
        <v>-1.22850119985628E-2</v>
      </c>
      <c r="H437" s="65">
        <v>404.42073112000003</v>
      </c>
      <c r="I437" s="47">
        <f t="shared" si="32"/>
        <v>-1.2258391983132055E-2</v>
      </c>
      <c r="L437" s="65">
        <v>71.621040609999994</v>
      </c>
      <c r="M437" s="47">
        <f t="shared" si="33"/>
        <v>1.5916985416651652E-2</v>
      </c>
      <c r="P437" s="65">
        <v>1046.7199424099999</v>
      </c>
      <c r="Q437" s="47">
        <f t="shared" si="34"/>
        <v>-1.6372793084682424E-3</v>
      </c>
    </row>
    <row r="438" spans="1:17" ht="14.4" x14ac:dyDescent="0.3">
      <c r="A438" s="63">
        <v>44840</v>
      </c>
      <c r="B438" s="64">
        <v>15053.049804689999</v>
      </c>
      <c r="C438" s="47">
        <f t="shared" si="30"/>
        <v>5.8299590492087994E-3</v>
      </c>
      <c r="D438" s="65">
        <v>419.15422451000001</v>
      </c>
      <c r="E438" s="47">
        <f t="shared" si="31"/>
        <v>-2.5893283004460255E-2</v>
      </c>
      <c r="H438" s="65">
        <v>404.56550215999999</v>
      </c>
      <c r="I438" s="47">
        <f t="shared" si="32"/>
        <v>3.5797136214821279E-4</v>
      </c>
      <c r="L438" s="65">
        <v>71.377099490000006</v>
      </c>
      <c r="M438" s="47">
        <f t="shared" si="33"/>
        <v>-3.4059979849822009E-3</v>
      </c>
      <c r="P438" s="65">
        <v>1046.0597173900001</v>
      </c>
      <c r="Q438" s="47">
        <f t="shared" si="34"/>
        <v>-6.307561299345732E-4</v>
      </c>
    </row>
    <row r="439" spans="1:17" ht="14.4" x14ac:dyDescent="0.3">
      <c r="A439" s="63">
        <v>44841</v>
      </c>
      <c r="B439" s="64">
        <v>15036.700195310001</v>
      </c>
      <c r="C439" s="47">
        <f t="shared" si="30"/>
        <v>-1.0861326835512886E-3</v>
      </c>
      <c r="D439" s="65">
        <v>417.11074671</v>
      </c>
      <c r="E439" s="47">
        <f t="shared" si="31"/>
        <v>-4.8752408552934501E-3</v>
      </c>
      <c r="H439" s="65">
        <v>413.73494593999999</v>
      </c>
      <c r="I439" s="47">
        <f t="shared" si="32"/>
        <v>2.266491762407763E-2</v>
      </c>
      <c r="L439" s="65">
        <v>72.01134639</v>
      </c>
      <c r="M439" s="47">
        <f t="shared" si="33"/>
        <v>8.8858598140268974E-3</v>
      </c>
      <c r="P439" s="65">
        <v>1059.7483725899999</v>
      </c>
      <c r="Q439" s="47">
        <f t="shared" si="34"/>
        <v>1.3085921360354247E-2</v>
      </c>
    </row>
    <row r="440" spans="1:17" ht="14.4" x14ac:dyDescent="0.3">
      <c r="A440" s="63">
        <v>44844</v>
      </c>
      <c r="B440" s="64">
        <v>14951.65039063</v>
      </c>
      <c r="C440" s="47">
        <f t="shared" si="30"/>
        <v>-5.6561481957675408E-3</v>
      </c>
      <c r="D440" s="65">
        <v>406.94207982</v>
      </c>
      <c r="E440" s="47">
        <f t="shared" si="31"/>
        <v>-2.4378817784500462E-2</v>
      </c>
      <c r="H440" s="65">
        <v>412.86627145</v>
      </c>
      <c r="I440" s="47">
        <f t="shared" si="32"/>
        <v>-2.0995917761463812E-3</v>
      </c>
      <c r="L440" s="65">
        <v>71.230732829999994</v>
      </c>
      <c r="M440" s="47">
        <f t="shared" si="33"/>
        <v>-1.0840146714829468E-2</v>
      </c>
      <c r="P440" s="65">
        <v>1042.18640086</v>
      </c>
      <c r="Q440" s="47">
        <f t="shared" si="34"/>
        <v>-1.6571831751983512E-2</v>
      </c>
    </row>
    <row r="441" spans="1:17" ht="14.4" x14ac:dyDescent="0.3">
      <c r="A441" s="63">
        <v>44845</v>
      </c>
      <c r="B441" s="64">
        <v>14721.90039063</v>
      </c>
      <c r="C441" s="47">
        <f t="shared" si="30"/>
        <v>-1.5366196640337559E-2</v>
      </c>
      <c r="D441" s="65">
        <v>407.23399410000002</v>
      </c>
      <c r="E441" s="47">
        <f t="shared" si="31"/>
        <v>7.1733618732450211E-4</v>
      </c>
      <c r="H441" s="65">
        <v>432.31513466000001</v>
      </c>
      <c r="I441" s="47">
        <f t="shared" si="32"/>
        <v>4.7106931602077795E-2</v>
      </c>
      <c r="L441" s="65">
        <v>68.40101688</v>
      </c>
      <c r="M441" s="47">
        <f t="shared" si="33"/>
        <v>-3.9726054156334789E-2</v>
      </c>
      <c r="P441" s="65">
        <v>1047.90834664</v>
      </c>
      <c r="Q441" s="47">
        <f t="shared" si="34"/>
        <v>5.4903285777652133E-3</v>
      </c>
    </row>
    <row r="442" spans="1:17" ht="14.4" x14ac:dyDescent="0.3">
      <c r="A442" s="63">
        <v>44846</v>
      </c>
      <c r="B442" s="64">
        <v>14829.950195310001</v>
      </c>
      <c r="C442" s="47">
        <f t="shared" si="30"/>
        <v>7.3393924570206437E-3</v>
      </c>
      <c r="D442" s="65">
        <v>406.01764405</v>
      </c>
      <c r="E442" s="47">
        <f t="shared" si="31"/>
        <v>-2.9868578449305794E-3</v>
      </c>
      <c r="H442" s="65">
        <v>418.89880025000002</v>
      </c>
      <c r="I442" s="47">
        <f t="shared" si="32"/>
        <v>-3.103369124597366E-2</v>
      </c>
      <c r="L442" s="65">
        <v>68.352233659999996</v>
      </c>
      <c r="M442" s="47">
        <f t="shared" si="33"/>
        <v>-7.1319436793737534E-4</v>
      </c>
      <c r="P442" s="65">
        <v>1022.37966549</v>
      </c>
      <c r="Q442" s="47">
        <f t="shared" si="34"/>
        <v>-2.4361559130485877E-2</v>
      </c>
    </row>
    <row r="443" spans="1:17" ht="14.4" x14ac:dyDescent="0.3">
      <c r="A443" s="63">
        <v>44847</v>
      </c>
      <c r="B443" s="64">
        <v>14730.299804689999</v>
      </c>
      <c r="C443" s="47">
        <f t="shared" si="30"/>
        <v>-6.7195364318564099E-3</v>
      </c>
      <c r="D443" s="65">
        <v>407.91515985000001</v>
      </c>
      <c r="E443" s="47">
        <f t="shared" si="31"/>
        <v>4.6734811351358818E-3</v>
      </c>
      <c r="H443" s="65">
        <v>425.99306378</v>
      </c>
      <c r="I443" s="47">
        <f t="shared" si="32"/>
        <v>1.6935506919012688E-2</v>
      </c>
      <c r="L443" s="65">
        <v>69.084056000000004</v>
      </c>
      <c r="M443" s="47">
        <f t="shared" si="33"/>
        <v>1.0706633870083415E-2</v>
      </c>
      <c r="P443" s="65">
        <v>1018.24225834</v>
      </c>
      <c r="Q443" s="47">
        <f t="shared" si="34"/>
        <v>-4.0468402195940056E-3</v>
      </c>
    </row>
    <row r="444" spans="1:17" ht="14.4" x14ac:dyDescent="0.3">
      <c r="A444" s="63">
        <v>44848</v>
      </c>
      <c r="B444" s="64">
        <v>14815.09960938</v>
      </c>
      <c r="C444" s="47">
        <f t="shared" si="30"/>
        <v>5.7568281579036817E-3</v>
      </c>
      <c r="D444" s="65">
        <v>406.11496179</v>
      </c>
      <c r="E444" s="47">
        <f t="shared" si="31"/>
        <v>-4.4131678279915043E-3</v>
      </c>
      <c r="H444" s="65">
        <v>420.78095889000002</v>
      </c>
      <c r="I444" s="47">
        <f t="shared" si="32"/>
        <v>-1.2235187220540511E-2</v>
      </c>
      <c r="L444" s="65">
        <v>69.669513679999994</v>
      </c>
      <c r="M444" s="47">
        <f t="shared" si="33"/>
        <v>8.474570167101847E-3</v>
      </c>
      <c r="P444" s="65">
        <v>1007.32654599</v>
      </c>
      <c r="Q444" s="47">
        <f t="shared" si="34"/>
        <v>-1.072015255760006E-2</v>
      </c>
    </row>
    <row r="445" spans="1:17" ht="14.4" x14ac:dyDescent="0.3">
      <c r="A445" s="63">
        <v>44851</v>
      </c>
      <c r="B445" s="64">
        <v>14906.15039063</v>
      </c>
      <c r="C445" s="47">
        <f t="shared" si="30"/>
        <v>6.1458095895861042E-3</v>
      </c>
      <c r="D445" s="65">
        <v>416.18634014000003</v>
      </c>
      <c r="E445" s="47">
        <f t="shared" si="31"/>
        <v>2.4799328509369056E-2</v>
      </c>
      <c r="H445" s="65">
        <v>422.51831752999999</v>
      </c>
      <c r="I445" s="47">
        <f t="shared" si="32"/>
        <v>4.1288908238219513E-3</v>
      </c>
      <c r="L445" s="65">
        <v>67.620411309999994</v>
      </c>
      <c r="M445" s="47">
        <f t="shared" si="33"/>
        <v>-2.9411750732347031E-2</v>
      </c>
      <c r="P445" s="65">
        <v>1013.31258136</v>
      </c>
      <c r="Q445" s="47">
        <f t="shared" si="34"/>
        <v>5.9424973895798594E-3</v>
      </c>
    </row>
    <row r="446" spans="1:17" ht="14.4" x14ac:dyDescent="0.3">
      <c r="A446" s="63">
        <v>44852</v>
      </c>
      <c r="B446" s="64">
        <v>15056.549804689999</v>
      </c>
      <c r="C446" s="47">
        <f t="shared" si="30"/>
        <v>1.0089755578646331E-2</v>
      </c>
      <c r="D446" s="65">
        <v>424.16557695</v>
      </c>
      <c r="E446" s="47">
        <f t="shared" si="31"/>
        <v>1.9172269823454213E-2</v>
      </c>
      <c r="H446" s="65">
        <v>417.88534506000002</v>
      </c>
      <c r="I446" s="47">
        <f t="shared" si="32"/>
        <v>-1.0965139918865163E-2</v>
      </c>
      <c r="L446" s="65">
        <v>67.571620089999996</v>
      </c>
      <c r="M446" s="47">
        <f t="shared" si="33"/>
        <v>-7.2154574417360173E-4</v>
      </c>
      <c r="P446" s="65">
        <v>1014.76507621</v>
      </c>
      <c r="Q446" s="47">
        <f t="shared" si="34"/>
        <v>1.4334124303978513E-3</v>
      </c>
    </row>
    <row r="447" spans="1:17" ht="14.4" x14ac:dyDescent="0.3">
      <c r="A447" s="63">
        <v>44853</v>
      </c>
      <c r="B447" s="64">
        <v>15068.59960938</v>
      </c>
      <c r="C447" s="47">
        <f t="shared" si="30"/>
        <v>8.0030318009827184E-4</v>
      </c>
      <c r="D447" s="65">
        <v>415.79708865999999</v>
      </c>
      <c r="E447" s="47">
        <f t="shared" si="31"/>
        <v>-1.9729296163480292E-2</v>
      </c>
      <c r="H447" s="65">
        <v>421.31181177000002</v>
      </c>
      <c r="I447" s="47">
        <f t="shared" si="32"/>
        <v>8.1995378648849204E-3</v>
      </c>
      <c r="L447" s="65">
        <v>67.620411309999994</v>
      </c>
      <c r="M447" s="47">
        <f t="shared" si="33"/>
        <v>7.2206674836294837E-4</v>
      </c>
      <c r="P447" s="65">
        <v>1024.1402641899999</v>
      </c>
      <c r="Q447" s="47">
        <f t="shared" si="34"/>
        <v>9.2387767373853791E-3</v>
      </c>
    </row>
    <row r="448" spans="1:17" ht="14.4" x14ac:dyDescent="0.3">
      <c r="A448" s="63">
        <v>44854</v>
      </c>
      <c r="B448" s="64">
        <v>15112.09960938</v>
      </c>
      <c r="C448" s="47">
        <f t="shared" si="30"/>
        <v>2.8867977866318117E-3</v>
      </c>
      <c r="D448" s="65">
        <v>412.82920429000001</v>
      </c>
      <c r="E448" s="47">
        <f t="shared" si="31"/>
        <v>-7.1378190250553919E-3</v>
      </c>
      <c r="H448" s="65">
        <v>426.90998884999999</v>
      </c>
      <c r="I448" s="47">
        <f t="shared" si="32"/>
        <v>1.3287491410414409E-2</v>
      </c>
      <c r="L448" s="65">
        <v>68.010710099999997</v>
      </c>
      <c r="M448" s="47">
        <f t="shared" si="33"/>
        <v>5.7719079555833552E-3</v>
      </c>
      <c r="P448" s="65">
        <v>1032.9432576900001</v>
      </c>
      <c r="Q448" s="47">
        <f t="shared" si="34"/>
        <v>8.5954959567600131E-3</v>
      </c>
    </row>
    <row r="449" spans="1:17" ht="14.4" x14ac:dyDescent="0.3">
      <c r="A449" s="63">
        <v>44855</v>
      </c>
      <c r="B449" s="64">
        <v>15081.09960938</v>
      </c>
      <c r="C449" s="47">
        <f t="shared" si="30"/>
        <v>-2.0513363993946987E-3</v>
      </c>
      <c r="D449" s="65">
        <v>406.65013635000003</v>
      </c>
      <c r="E449" s="47">
        <f t="shared" si="31"/>
        <v>-1.4967613424120452E-2</v>
      </c>
      <c r="H449" s="65">
        <v>439.79547037999998</v>
      </c>
      <c r="I449" s="47">
        <f t="shared" si="32"/>
        <v>3.0183134305923787E-2</v>
      </c>
      <c r="L449" s="65">
        <v>67.034946640000001</v>
      </c>
      <c r="M449" s="47">
        <f t="shared" si="33"/>
        <v>-1.4347202941496606E-2</v>
      </c>
      <c r="P449" s="65">
        <v>1021.85148526</v>
      </c>
      <c r="Q449" s="47">
        <f t="shared" si="34"/>
        <v>-1.0738026844577031E-2</v>
      </c>
    </row>
    <row r="450" spans="1:17" ht="14.4" x14ac:dyDescent="0.3">
      <c r="A450" s="63">
        <v>44858</v>
      </c>
      <c r="B450" s="64">
        <v>15198.75</v>
      </c>
      <c r="C450" s="47">
        <f t="shared" si="30"/>
        <v>7.8011811915110751E-3</v>
      </c>
      <c r="D450" s="65">
        <v>412.39130854000001</v>
      </c>
      <c r="E450" s="47">
        <f t="shared" si="31"/>
        <v>1.4118210414316934E-2</v>
      </c>
      <c r="H450" s="65">
        <v>447.51710724999998</v>
      </c>
      <c r="I450" s="47">
        <f t="shared" si="32"/>
        <v>1.7557336057436368E-2</v>
      </c>
      <c r="L450" s="65">
        <v>67.766769980000007</v>
      </c>
      <c r="M450" s="47">
        <f t="shared" si="33"/>
        <v>1.0917042179956482E-2</v>
      </c>
      <c r="P450" s="65">
        <v>1024.4923833099999</v>
      </c>
      <c r="Q450" s="47">
        <f t="shared" si="34"/>
        <v>2.5844245353598971E-3</v>
      </c>
    </row>
    <row r="451" spans="1:17" ht="14.4" x14ac:dyDescent="0.3">
      <c r="A451" s="63">
        <v>44859</v>
      </c>
      <c r="B451" s="64">
        <v>15158.09960938</v>
      </c>
      <c r="C451" s="47">
        <f t="shared" si="30"/>
        <v>-2.6745877535980789E-3</v>
      </c>
      <c r="D451" s="65">
        <v>416.33230214000002</v>
      </c>
      <c r="E451" s="47">
        <f t="shared" si="31"/>
        <v>9.5564419481886098E-3</v>
      </c>
      <c r="H451" s="65">
        <v>441.77415912999999</v>
      </c>
      <c r="I451" s="47">
        <f t="shared" si="32"/>
        <v>-1.2832913037203242E-2</v>
      </c>
      <c r="L451" s="65">
        <v>67.034946640000001</v>
      </c>
      <c r="M451" s="47">
        <f t="shared" si="33"/>
        <v>-1.0799147431934442E-2</v>
      </c>
      <c r="P451" s="65">
        <v>1009.57130964</v>
      </c>
      <c r="Q451" s="47">
        <f t="shared" si="34"/>
        <v>-1.4564357835235353E-2</v>
      </c>
    </row>
    <row r="452" spans="1:17" ht="14.4" x14ac:dyDescent="0.3">
      <c r="A452" s="63">
        <v>44861</v>
      </c>
      <c r="B452" s="64">
        <v>15244.25</v>
      </c>
      <c r="C452" s="47">
        <f t="shared" ref="C452:C515" si="35">B452/B451-1</f>
        <v>5.6834558975116245E-3</v>
      </c>
      <c r="D452" s="65">
        <v>407.18534983000001</v>
      </c>
      <c r="E452" s="47">
        <f t="shared" ref="E452:E515" si="36">D452/D451-1</f>
        <v>-2.1970316170480952E-2</v>
      </c>
      <c r="H452" s="65">
        <v>445.82799919000001</v>
      </c>
      <c r="I452" s="47">
        <f t="shared" ref="I452:I515" si="37">H452/H451-1</f>
        <v>9.1762724827169073E-3</v>
      </c>
      <c r="L452" s="65">
        <v>66.156765609999994</v>
      </c>
      <c r="M452" s="47">
        <f t="shared" ref="M452:M515" si="38">L452/L451-1</f>
        <v>-1.3100346520989015E-2</v>
      </c>
      <c r="P452" s="65">
        <v>1018.9464976100001</v>
      </c>
      <c r="Q452" s="47">
        <f t="shared" ref="Q452:Q515" si="39">P452/P451-1</f>
        <v>9.2863058611909466E-3</v>
      </c>
    </row>
    <row r="453" spans="1:17" ht="14.4" x14ac:dyDescent="0.3">
      <c r="A453" s="63">
        <v>44862</v>
      </c>
      <c r="B453" s="64">
        <v>15241.59960938</v>
      </c>
      <c r="C453" s="47">
        <f t="shared" si="35"/>
        <v>-1.7386166062616226E-4</v>
      </c>
      <c r="D453" s="65">
        <v>421.73287686999998</v>
      </c>
      <c r="E453" s="47">
        <f t="shared" si="36"/>
        <v>3.5727039408646633E-2</v>
      </c>
      <c r="H453" s="65">
        <v>458.76174094999999</v>
      </c>
      <c r="I453" s="47">
        <f t="shared" si="37"/>
        <v>2.9010608987094955E-2</v>
      </c>
      <c r="L453" s="65">
        <v>65.668884379999994</v>
      </c>
      <c r="M453" s="47">
        <f t="shared" si="38"/>
        <v>-7.3746233737619349E-3</v>
      </c>
      <c r="P453" s="65">
        <v>1021.36732134</v>
      </c>
      <c r="Q453" s="47">
        <f t="shared" si="39"/>
        <v>2.3758104431175209E-3</v>
      </c>
    </row>
    <row r="454" spans="1:17" ht="14.4" x14ac:dyDescent="0.3">
      <c r="A454" s="63">
        <v>44865</v>
      </c>
      <c r="B454" s="64">
        <v>15424</v>
      </c>
      <c r="C454" s="47">
        <f t="shared" si="35"/>
        <v>1.1967273468314055E-2</v>
      </c>
      <c r="D454" s="65">
        <v>428.15521482000003</v>
      </c>
      <c r="E454" s="47">
        <f t="shared" si="36"/>
        <v>1.5228449813220912E-2</v>
      </c>
      <c r="H454" s="65">
        <v>458.81002047999999</v>
      </c>
      <c r="I454" s="47">
        <f t="shared" si="37"/>
        <v>1.0523878887558347E-4</v>
      </c>
      <c r="L454" s="65">
        <v>65.912824499999999</v>
      </c>
      <c r="M454" s="47">
        <f t="shared" si="38"/>
        <v>3.7146987085758809E-3</v>
      </c>
      <c r="P454" s="65">
        <v>1029.11395541</v>
      </c>
      <c r="Q454" s="47">
        <f t="shared" si="39"/>
        <v>7.584572081116514E-3</v>
      </c>
    </row>
    <row r="455" spans="1:17" ht="14.4" x14ac:dyDescent="0.3">
      <c r="A455" s="63">
        <v>44866</v>
      </c>
      <c r="B455" s="64">
        <v>15537.40039063</v>
      </c>
      <c r="C455" s="47">
        <f t="shared" si="35"/>
        <v>7.3522037493516379E-3</v>
      </c>
      <c r="D455" s="65">
        <v>430.83118490999999</v>
      </c>
      <c r="E455" s="47">
        <f t="shared" si="36"/>
        <v>6.2499999938689932E-3</v>
      </c>
      <c r="H455" s="65">
        <v>449.6405767</v>
      </c>
      <c r="I455" s="47">
        <f t="shared" si="37"/>
        <v>-1.9985273578826956E-2</v>
      </c>
      <c r="L455" s="65">
        <v>66.498282180000004</v>
      </c>
      <c r="M455" s="47">
        <f t="shared" si="38"/>
        <v>8.8823030182845208E-3</v>
      </c>
      <c r="P455" s="65">
        <v>1028.58577519</v>
      </c>
      <c r="Q455" s="47">
        <f t="shared" si="39"/>
        <v>-5.1323783651302524E-4</v>
      </c>
    </row>
    <row r="456" spans="1:17" ht="14.4" x14ac:dyDescent="0.3">
      <c r="A456" s="63">
        <v>44867</v>
      </c>
      <c r="B456" s="64">
        <v>15497.549804689999</v>
      </c>
      <c r="C456" s="47">
        <f t="shared" si="35"/>
        <v>-2.564816825087024E-3</v>
      </c>
      <c r="D456" s="65">
        <v>422.56000462999998</v>
      </c>
      <c r="E456" s="47">
        <f t="shared" si="36"/>
        <v>-1.9198193096741201E-2</v>
      </c>
      <c r="H456" s="65">
        <v>445.77975825999999</v>
      </c>
      <c r="I456" s="47">
        <f t="shared" si="37"/>
        <v>-8.5864546930690677E-3</v>
      </c>
      <c r="L456" s="65">
        <v>67.669194540000007</v>
      </c>
      <c r="M456" s="47">
        <f t="shared" si="38"/>
        <v>1.7608159513512467E-2</v>
      </c>
      <c r="P456" s="65">
        <v>1029.2460002099999</v>
      </c>
      <c r="Q456" s="47">
        <f t="shared" si="39"/>
        <v>6.418764831526147E-4</v>
      </c>
    </row>
    <row r="457" spans="1:17" ht="14.4" x14ac:dyDescent="0.3">
      <c r="A457" s="63">
        <v>44868</v>
      </c>
      <c r="B457" s="64">
        <v>15484.700195310001</v>
      </c>
      <c r="C457" s="47">
        <f t="shared" si="35"/>
        <v>-8.2913812453822011E-4</v>
      </c>
      <c r="D457" s="65">
        <v>416.47825441999998</v>
      </c>
      <c r="E457" s="47">
        <f t="shared" si="36"/>
        <v>-1.4392630971606701E-2</v>
      </c>
      <c r="H457" s="65">
        <v>449.68881762000001</v>
      </c>
      <c r="I457" s="47">
        <f t="shared" si="37"/>
        <v>8.7690373723072756E-3</v>
      </c>
      <c r="L457" s="65">
        <v>67.766769980000007</v>
      </c>
      <c r="M457" s="47">
        <f t="shared" si="38"/>
        <v>1.4419477084557375E-3</v>
      </c>
      <c r="P457" s="65">
        <v>1021.01520119</v>
      </c>
      <c r="Q457" s="47">
        <f t="shared" si="39"/>
        <v>-7.9969210648577205E-3</v>
      </c>
    </row>
    <row r="458" spans="1:17" ht="14.4" x14ac:dyDescent="0.3">
      <c r="A458" s="63">
        <v>44869</v>
      </c>
      <c r="B458" s="64">
        <v>15530.84960938</v>
      </c>
      <c r="C458" s="47">
        <f t="shared" si="35"/>
        <v>2.9803233829466258E-3</v>
      </c>
      <c r="D458" s="65">
        <v>418.03519219999998</v>
      </c>
      <c r="E458" s="47">
        <f t="shared" si="36"/>
        <v>3.7383411101936659E-3</v>
      </c>
      <c r="H458" s="65">
        <v>459.63044439999999</v>
      </c>
      <c r="I458" s="47">
        <f t="shared" si="37"/>
        <v>2.2107791856191827E-2</v>
      </c>
      <c r="L458" s="65">
        <v>67.376470190000006</v>
      </c>
      <c r="M458" s="47">
        <f t="shared" si="38"/>
        <v>-5.759456885951475E-3</v>
      </c>
      <c r="P458" s="65">
        <v>1015.29325541</v>
      </c>
      <c r="Q458" s="47">
        <f t="shared" si="39"/>
        <v>-5.604172957788478E-3</v>
      </c>
    </row>
    <row r="459" spans="1:17" ht="14.4" x14ac:dyDescent="0.3">
      <c r="A459" s="63">
        <v>44872</v>
      </c>
      <c r="B459" s="64">
        <v>15615.15039063</v>
      </c>
      <c r="C459" s="47">
        <f t="shared" si="35"/>
        <v>5.4279568323865046E-3</v>
      </c>
      <c r="D459" s="65">
        <v>424.11694240999998</v>
      </c>
      <c r="E459" s="47">
        <f t="shared" si="36"/>
        <v>1.4548416792360186E-2</v>
      </c>
      <c r="H459" s="65">
        <v>479.70669061000001</v>
      </c>
      <c r="I459" s="47">
        <f t="shared" si="37"/>
        <v>4.3679104494932952E-2</v>
      </c>
      <c r="L459" s="65">
        <v>68.644958000000003</v>
      </c>
      <c r="M459" s="47">
        <f t="shared" si="38"/>
        <v>1.8826866507296813E-2</v>
      </c>
      <c r="P459" s="65">
        <v>1022.81981516</v>
      </c>
      <c r="Q459" s="47">
        <f t="shared" si="39"/>
        <v>7.4131879729275596E-3</v>
      </c>
    </row>
    <row r="460" spans="1:17" ht="14.4" x14ac:dyDescent="0.3">
      <c r="A460" s="63">
        <v>44874</v>
      </c>
      <c r="B460" s="64">
        <v>15567.25</v>
      </c>
      <c r="C460" s="47">
        <f t="shared" si="35"/>
        <v>-3.0675587126425263E-3</v>
      </c>
      <c r="D460" s="65">
        <v>405.67705631000001</v>
      </c>
      <c r="E460" s="47">
        <f t="shared" si="36"/>
        <v>-4.3478305759768188E-2</v>
      </c>
      <c r="H460" s="65">
        <v>483.37445846999998</v>
      </c>
      <c r="I460" s="47">
        <f t="shared" si="37"/>
        <v>7.6458551272986508E-3</v>
      </c>
      <c r="L460" s="65">
        <v>68.791324669999995</v>
      </c>
      <c r="M460" s="47">
        <f t="shared" si="38"/>
        <v>2.1322275410233793E-3</v>
      </c>
      <c r="P460" s="65">
        <v>1015.64537556</v>
      </c>
      <c r="Q460" s="47">
        <f t="shared" si="39"/>
        <v>-7.0143729068034011E-3</v>
      </c>
    </row>
    <row r="461" spans="1:17" ht="14.4" x14ac:dyDescent="0.3">
      <c r="A461" s="63">
        <v>44875</v>
      </c>
      <c r="B461" s="64">
        <v>15440</v>
      </c>
      <c r="C461" s="47">
        <f t="shared" si="35"/>
        <v>-8.1742118871348524E-3</v>
      </c>
      <c r="D461" s="65">
        <v>398.62222607000001</v>
      </c>
      <c r="E461" s="47">
        <f t="shared" si="36"/>
        <v>-1.7390261860431688E-2</v>
      </c>
      <c r="H461" s="65">
        <v>482.45753339999999</v>
      </c>
      <c r="I461" s="47">
        <f t="shared" si="37"/>
        <v>-1.8969249490390361E-3</v>
      </c>
      <c r="L461" s="65">
        <v>66.791006519999996</v>
      </c>
      <c r="M461" s="47">
        <f t="shared" si="38"/>
        <v>-2.9078058310343047E-2</v>
      </c>
      <c r="P461" s="65">
        <v>1001.95672036</v>
      </c>
      <c r="Q461" s="47">
        <f t="shared" si="39"/>
        <v>-1.347779011197936E-2</v>
      </c>
    </row>
    <row r="462" spans="1:17" ht="14.4" x14ac:dyDescent="0.3">
      <c r="A462" s="63">
        <v>44876</v>
      </c>
      <c r="B462" s="64">
        <v>15649.09960938</v>
      </c>
      <c r="C462" s="47">
        <f t="shared" si="35"/>
        <v>1.3542720814766929E-2</v>
      </c>
      <c r="D462" s="65">
        <v>398.96281381</v>
      </c>
      <c r="E462" s="47">
        <f t="shared" si="36"/>
        <v>8.5441231754135316E-4</v>
      </c>
      <c r="H462" s="65">
        <v>488.58658265999998</v>
      </c>
      <c r="I462" s="47">
        <f t="shared" si="37"/>
        <v>1.2703810875968724E-2</v>
      </c>
      <c r="L462" s="65">
        <v>67.961926869999999</v>
      </c>
      <c r="M462" s="47">
        <f t="shared" si="38"/>
        <v>1.7531108019002151E-2</v>
      </c>
      <c r="P462" s="65">
        <v>1019.25460249</v>
      </c>
      <c r="Q462" s="47">
        <f t="shared" si="39"/>
        <v>1.7264101111857499E-2</v>
      </c>
    </row>
    <row r="463" spans="1:17" ht="14.4" x14ac:dyDescent="0.3">
      <c r="A463" s="63">
        <v>44879</v>
      </c>
      <c r="B463" s="64">
        <v>15650.200195310001</v>
      </c>
      <c r="C463" s="47">
        <f t="shared" si="35"/>
        <v>7.0329025788851141E-5</v>
      </c>
      <c r="D463" s="65">
        <v>398.76818807000001</v>
      </c>
      <c r="E463" s="47">
        <f t="shared" si="36"/>
        <v>-4.8782927446633373E-4</v>
      </c>
      <c r="H463" s="65">
        <v>490.80654361000001</v>
      </c>
      <c r="I463" s="47">
        <f t="shared" si="37"/>
        <v>4.5436387915400722E-3</v>
      </c>
      <c r="L463" s="65">
        <v>72.645587300000003</v>
      </c>
      <c r="M463" s="47">
        <f t="shared" si="38"/>
        <v>6.8915945231498243E-2</v>
      </c>
      <c r="P463" s="65">
        <v>1006.53427719</v>
      </c>
      <c r="Q463" s="47">
        <f t="shared" si="39"/>
        <v>-1.2480027334607846E-2</v>
      </c>
    </row>
    <row r="464" spans="1:17" ht="14.4" x14ac:dyDescent="0.3">
      <c r="A464" s="63">
        <v>44880</v>
      </c>
      <c r="B464" s="64">
        <v>15693.90039063</v>
      </c>
      <c r="C464" s="47">
        <f t="shared" si="35"/>
        <v>2.7923090295736142E-3</v>
      </c>
      <c r="D464" s="65">
        <v>418.52173221999999</v>
      </c>
      <c r="E464" s="47">
        <f t="shared" si="36"/>
        <v>4.9536409224630651E-2</v>
      </c>
      <c r="H464" s="65">
        <v>467.06250058000001</v>
      </c>
      <c r="I464" s="47">
        <f t="shared" si="37"/>
        <v>-4.8377600786160824E-2</v>
      </c>
      <c r="L464" s="65">
        <v>70.742851590000001</v>
      </c>
      <c r="M464" s="47">
        <f t="shared" si="38"/>
        <v>-2.619203424073635E-2</v>
      </c>
      <c r="P464" s="65">
        <v>999.93203205999998</v>
      </c>
      <c r="Q464" s="47">
        <f t="shared" si="39"/>
        <v>-6.5593842948219461E-3</v>
      </c>
    </row>
    <row r="465" spans="1:17" ht="14.4" x14ac:dyDescent="0.3">
      <c r="A465" s="63">
        <v>44881</v>
      </c>
      <c r="B465" s="64">
        <v>15663.299804689999</v>
      </c>
      <c r="C465" s="47">
        <f t="shared" si="35"/>
        <v>-1.9498394394213969E-3</v>
      </c>
      <c r="D465" s="65">
        <v>426.74423904000002</v>
      </c>
      <c r="E465" s="47">
        <f t="shared" si="36"/>
        <v>1.9646546850469848E-2</v>
      </c>
      <c r="H465" s="65">
        <v>477.29367909000001</v>
      </c>
      <c r="I465" s="47">
        <f t="shared" si="37"/>
        <v>2.1905373472061784E-2</v>
      </c>
      <c r="L465" s="65">
        <v>70.645277149999998</v>
      </c>
      <c r="M465" s="47">
        <f t="shared" si="38"/>
        <v>-1.3792833877479538E-3</v>
      </c>
      <c r="P465" s="65">
        <v>988.35609570999998</v>
      </c>
      <c r="Q465" s="47">
        <f t="shared" si="39"/>
        <v>-1.1576723196027539E-2</v>
      </c>
    </row>
    <row r="466" spans="1:17" ht="14.4" x14ac:dyDescent="0.3">
      <c r="A466" s="63">
        <v>44882</v>
      </c>
      <c r="B466" s="64">
        <v>15597.25</v>
      </c>
      <c r="C466" s="47">
        <f t="shared" si="35"/>
        <v>-4.2168512071908415E-3</v>
      </c>
      <c r="D466" s="65">
        <v>415.69980012000002</v>
      </c>
      <c r="E466" s="47">
        <f t="shared" si="36"/>
        <v>-2.5880698342514163E-2</v>
      </c>
      <c r="H466" s="65">
        <v>480.43059406999998</v>
      </c>
      <c r="I466" s="47">
        <f t="shared" si="37"/>
        <v>6.5722952501292564E-3</v>
      </c>
      <c r="L466" s="65">
        <v>70.401336029999996</v>
      </c>
      <c r="M466" s="47">
        <f t="shared" si="38"/>
        <v>-3.4530421542836587E-3</v>
      </c>
      <c r="P466" s="65">
        <v>978.98090671</v>
      </c>
      <c r="Q466" s="47">
        <f t="shared" si="39"/>
        <v>-9.4856388711450634E-3</v>
      </c>
    </row>
    <row r="467" spans="1:17" ht="14.4" x14ac:dyDescent="0.3">
      <c r="A467" s="63">
        <v>44883</v>
      </c>
      <c r="B467" s="64">
        <v>15550.84960938</v>
      </c>
      <c r="C467" s="47">
        <f t="shared" si="35"/>
        <v>-2.974908437064161E-3</v>
      </c>
      <c r="D467" s="65">
        <v>412.00207653000001</v>
      </c>
      <c r="E467" s="47">
        <f t="shared" si="36"/>
        <v>-8.8951776953767325E-3</v>
      </c>
      <c r="H467" s="65">
        <v>479.75494119000001</v>
      </c>
      <c r="I467" s="47">
        <f t="shared" si="37"/>
        <v>-1.4063485721759195E-3</v>
      </c>
      <c r="L467" s="65">
        <v>69.181631449999998</v>
      </c>
      <c r="M467" s="47">
        <f t="shared" si="38"/>
        <v>-1.7325020358708088E-2</v>
      </c>
      <c r="P467" s="65">
        <v>973.03888660999996</v>
      </c>
      <c r="Q467" s="47">
        <f t="shared" si="39"/>
        <v>-6.0695975368600941E-3</v>
      </c>
    </row>
    <row r="468" spans="1:17" ht="14.4" x14ac:dyDescent="0.3">
      <c r="A468" s="63">
        <v>44886</v>
      </c>
      <c r="B468" s="64">
        <v>15453.799804689999</v>
      </c>
      <c r="C468" s="47">
        <f t="shared" si="35"/>
        <v>-6.2408040157151401E-3</v>
      </c>
      <c r="D468" s="65">
        <v>401.39551389000002</v>
      </c>
      <c r="E468" s="47">
        <f t="shared" si="36"/>
        <v>-2.5743954325015861E-2</v>
      </c>
      <c r="H468" s="65">
        <v>490.08264015999998</v>
      </c>
      <c r="I468" s="47">
        <f t="shared" si="37"/>
        <v>2.152702991319444E-2</v>
      </c>
      <c r="L468" s="65">
        <v>82.988685610000005</v>
      </c>
      <c r="M468" s="47">
        <f t="shared" si="38"/>
        <v>0.19957688002745133</v>
      </c>
      <c r="P468" s="65">
        <v>962.03514473999996</v>
      </c>
      <c r="Q468" s="47">
        <f t="shared" si="39"/>
        <v>-1.1308635267739731E-2</v>
      </c>
    </row>
    <row r="469" spans="1:17" ht="14.4" x14ac:dyDescent="0.3">
      <c r="A469" s="63">
        <v>44887</v>
      </c>
      <c r="B469" s="64">
        <v>15509.200195310001</v>
      </c>
      <c r="C469" s="47">
        <f t="shared" si="35"/>
        <v>3.5849041219744304E-3</v>
      </c>
      <c r="D469" s="65">
        <v>404.12012826</v>
      </c>
      <c r="E469" s="47">
        <f t="shared" si="36"/>
        <v>6.7878545616895103E-3</v>
      </c>
      <c r="H469" s="65">
        <v>501.71334603999998</v>
      </c>
      <c r="I469" s="47">
        <f t="shared" si="37"/>
        <v>2.3732131944528501E-2</v>
      </c>
      <c r="L469" s="65">
        <v>83.378985400000005</v>
      </c>
      <c r="M469" s="47">
        <f t="shared" si="38"/>
        <v>4.703048218334116E-3</v>
      </c>
      <c r="P469" s="65">
        <v>948.12641521</v>
      </c>
      <c r="Q469" s="47">
        <f t="shared" si="39"/>
        <v>-1.4457610624775019E-2</v>
      </c>
    </row>
    <row r="470" spans="1:17" ht="14.4" x14ac:dyDescent="0.3">
      <c r="A470" s="63">
        <v>44888</v>
      </c>
      <c r="B470" s="64">
        <v>15538.15039063</v>
      </c>
      <c r="C470" s="47">
        <f t="shared" si="35"/>
        <v>1.8666465681933531E-3</v>
      </c>
      <c r="D470" s="65">
        <v>403.29302969000003</v>
      </c>
      <c r="E470" s="47">
        <f t="shared" si="36"/>
        <v>-2.046665118021096E-3</v>
      </c>
      <c r="H470" s="65">
        <v>494.90866319999998</v>
      </c>
      <c r="I470" s="47">
        <f t="shared" si="37"/>
        <v>-1.356288983282794E-2</v>
      </c>
      <c r="L470" s="65">
        <v>88.404167380000004</v>
      </c>
      <c r="M470" s="47">
        <f t="shared" si="38"/>
        <v>6.0269166815742903E-2</v>
      </c>
      <c r="P470" s="65">
        <v>939.71955610999998</v>
      </c>
      <c r="Q470" s="47">
        <f t="shared" si="39"/>
        <v>-8.8668124473021415E-3</v>
      </c>
    </row>
    <row r="471" spans="1:17" ht="14.4" x14ac:dyDescent="0.3">
      <c r="A471" s="63">
        <v>44889</v>
      </c>
      <c r="B471" s="64">
        <v>15680.799804689999</v>
      </c>
      <c r="C471" s="47">
        <f t="shared" si="35"/>
        <v>9.1805916710665514E-3</v>
      </c>
      <c r="D471" s="65">
        <v>406.60150181</v>
      </c>
      <c r="E471" s="47">
        <f t="shared" si="36"/>
        <v>8.2036431984533476E-3</v>
      </c>
      <c r="H471" s="65">
        <v>497.41817587999998</v>
      </c>
      <c r="I471" s="47">
        <f t="shared" si="37"/>
        <v>5.0706582175665815E-3</v>
      </c>
      <c r="L471" s="65">
        <v>87.379620689999996</v>
      </c>
      <c r="M471" s="47">
        <f t="shared" si="38"/>
        <v>-1.1589348334632876E-2</v>
      </c>
      <c r="P471" s="65">
        <v>959.57030675999999</v>
      </c>
      <c r="Q471" s="47">
        <f t="shared" si="39"/>
        <v>2.1124122107421872E-2</v>
      </c>
    </row>
    <row r="472" spans="1:17" ht="14.4" x14ac:dyDescent="0.3">
      <c r="A472" s="63">
        <v>44890</v>
      </c>
      <c r="B472" s="64">
        <v>15727.25</v>
      </c>
      <c r="C472" s="47">
        <f t="shared" si="35"/>
        <v>2.9622338074941634E-3</v>
      </c>
      <c r="D472" s="65">
        <v>406.30955833000002</v>
      </c>
      <c r="E472" s="47">
        <f t="shared" si="36"/>
        <v>-7.1800885805972658E-4</v>
      </c>
      <c r="H472" s="65">
        <v>495.97036896999998</v>
      </c>
      <c r="I472" s="47">
        <f t="shared" si="37"/>
        <v>-2.910643358455145E-3</v>
      </c>
      <c r="L472" s="65">
        <v>88.501742829999998</v>
      </c>
      <c r="M472" s="47">
        <f t="shared" si="38"/>
        <v>1.2841920474580659E-2</v>
      </c>
      <c r="P472" s="65">
        <v>972.95085709</v>
      </c>
      <c r="Q472" s="47">
        <f t="shared" si="39"/>
        <v>1.3944314695584437E-2</v>
      </c>
    </row>
    <row r="473" spans="1:17" ht="14.4" x14ac:dyDescent="0.3">
      <c r="A473" s="63">
        <v>44893</v>
      </c>
      <c r="B473" s="64">
        <v>15784.450195310001</v>
      </c>
      <c r="C473" s="47">
        <f t="shared" si="35"/>
        <v>3.6370118940056706E-3</v>
      </c>
      <c r="D473" s="65">
        <v>404.55802399999999</v>
      </c>
      <c r="E473" s="47">
        <f t="shared" si="36"/>
        <v>-4.3108371292054359E-3</v>
      </c>
      <c r="H473" s="65">
        <v>504.89851160000001</v>
      </c>
      <c r="I473" s="47">
        <f t="shared" si="37"/>
        <v>1.8001362961544309E-2</v>
      </c>
      <c r="L473" s="65">
        <v>88.306593930000005</v>
      </c>
      <c r="M473" s="47">
        <f t="shared" si="38"/>
        <v>-2.2050288927625283E-3</v>
      </c>
      <c r="P473" s="65">
        <v>1000.06407686</v>
      </c>
      <c r="Q473" s="47">
        <f t="shared" si="39"/>
        <v>2.7866998186417025E-2</v>
      </c>
    </row>
    <row r="474" spans="1:17" ht="14.4" x14ac:dyDescent="0.3">
      <c r="A474" s="63">
        <v>44894</v>
      </c>
      <c r="B474" s="64">
        <v>15812.450195310001</v>
      </c>
      <c r="C474" s="47">
        <f t="shared" si="35"/>
        <v>1.7738977065111516E-3</v>
      </c>
      <c r="D474" s="65">
        <v>401.97937165000002</v>
      </c>
      <c r="E474" s="47">
        <f t="shared" si="36"/>
        <v>-6.3739987765017991E-3</v>
      </c>
      <c r="H474" s="65">
        <v>499.30033451999998</v>
      </c>
      <c r="I474" s="47">
        <f t="shared" si="37"/>
        <v>-1.1087727437063877E-2</v>
      </c>
      <c r="L474" s="65">
        <v>89.428723070000004</v>
      </c>
      <c r="M474" s="47">
        <f t="shared" si="38"/>
        <v>1.2707195352699374E-2</v>
      </c>
      <c r="P474" s="65">
        <v>1002.52891484</v>
      </c>
      <c r="Q474" s="47">
        <f t="shared" si="39"/>
        <v>2.4646800510415012E-3</v>
      </c>
    </row>
    <row r="475" spans="1:17" ht="14.4" x14ac:dyDescent="0.3">
      <c r="A475" s="63">
        <v>44895</v>
      </c>
      <c r="B475" s="64">
        <v>15946.15039063</v>
      </c>
      <c r="C475" s="47">
        <f t="shared" si="35"/>
        <v>8.4553749525582145E-3</v>
      </c>
      <c r="D475" s="65">
        <v>406.55282834000002</v>
      </c>
      <c r="E475" s="47">
        <f t="shared" si="36"/>
        <v>1.1377341755691051E-2</v>
      </c>
      <c r="H475" s="65">
        <v>489.50350773999998</v>
      </c>
      <c r="I475" s="47">
        <f t="shared" si="37"/>
        <v>-1.9621109986673879E-2</v>
      </c>
      <c r="L475" s="65">
        <v>88.062652819999997</v>
      </c>
      <c r="M475" s="47">
        <f t="shared" si="38"/>
        <v>-1.5275520024262468E-2</v>
      </c>
      <c r="P475" s="65">
        <v>979.28901158999997</v>
      </c>
      <c r="Q475" s="47">
        <f t="shared" si="39"/>
        <v>-2.318127976758555E-2</v>
      </c>
    </row>
    <row r="476" spans="1:17" ht="14.4" x14ac:dyDescent="0.3">
      <c r="A476" s="63">
        <v>44896</v>
      </c>
      <c r="B476" s="64">
        <v>16003.950195310001</v>
      </c>
      <c r="C476" s="47">
        <f t="shared" si="35"/>
        <v>3.6246870413290111E-3</v>
      </c>
      <c r="D476" s="65">
        <v>405.96899977999999</v>
      </c>
      <c r="E476" s="47">
        <f t="shared" si="36"/>
        <v>-1.4360459928021152E-3</v>
      </c>
      <c r="H476" s="65">
        <v>508.80762886999997</v>
      </c>
      <c r="I476" s="47">
        <f t="shared" si="37"/>
        <v>3.9436124204963674E-2</v>
      </c>
      <c r="L476" s="65">
        <v>88.35538416</v>
      </c>
      <c r="M476" s="47">
        <f t="shared" si="38"/>
        <v>3.3241258425220632E-3</v>
      </c>
      <c r="P476" s="65">
        <v>980.38938628999995</v>
      </c>
      <c r="Q476" s="47">
        <f t="shared" si="39"/>
        <v>1.1236465302653098E-3</v>
      </c>
    </row>
    <row r="477" spans="1:17" ht="14.4" x14ac:dyDescent="0.3">
      <c r="A477" s="63">
        <v>44897</v>
      </c>
      <c r="B477" s="64">
        <v>15963.5</v>
      </c>
      <c r="C477" s="47">
        <f t="shared" si="35"/>
        <v>-2.5275131962017028E-3</v>
      </c>
      <c r="D477" s="65">
        <v>407.96380412000002</v>
      </c>
      <c r="E477" s="47">
        <f t="shared" si="36"/>
        <v>4.913686367878034E-3</v>
      </c>
      <c r="H477" s="65">
        <v>505.13981274999998</v>
      </c>
      <c r="I477" s="47">
        <f t="shared" si="37"/>
        <v>-7.2086500120797092E-3</v>
      </c>
      <c r="L477" s="65">
        <v>106.01669995</v>
      </c>
      <c r="M477" s="47">
        <f t="shared" si="38"/>
        <v>0.1998895252157773</v>
      </c>
      <c r="P477" s="65">
        <v>975.81182946000001</v>
      </c>
      <c r="Q477" s="47">
        <f t="shared" si="39"/>
        <v>-4.6691211614625638E-3</v>
      </c>
    </row>
    <row r="478" spans="1:17" ht="14.4" x14ac:dyDescent="0.3">
      <c r="A478" s="63">
        <v>44900</v>
      </c>
      <c r="B478" s="64">
        <v>15967.200195310001</v>
      </c>
      <c r="C478" s="47">
        <f t="shared" si="35"/>
        <v>2.3179098004821874E-4</v>
      </c>
      <c r="D478" s="65">
        <v>407.76917838000003</v>
      </c>
      <c r="E478" s="47">
        <f t="shared" si="36"/>
        <v>-4.7706619566367792E-4</v>
      </c>
      <c r="H478" s="65">
        <v>498.04557818000001</v>
      </c>
      <c r="I478" s="47">
        <f t="shared" si="37"/>
        <v>-1.4044101040816215E-2</v>
      </c>
      <c r="L478" s="65">
        <v>112.70068052000001</v>
      </c>
      <c r="M478" s="47">
        <f t="shared" si="38"/>
        <v>6.3046487705732401E-2</v>
      </c>
      <c r="P478" s="65">
        <v>981.48975996000001</v>
      </c>
      <c r="Q478" s="47">
        <f t="shared" si="39"/>
        <v>5.8186735685936686E-3</v>
      </c>
    </row>
    <row r="479" spans="1:17" ht="14.4" x14ac:dyDescent="0.3">
      <c r="A479" s="63">
        <v>44901</v>
      </c>
      <c r="B479" s="64">
        <v>15922.84960938</v>
      </c>
      <c r="C479" s="47">
        <f t="shared" si="35"/>
        <v>-2.7776056783597181E-3</v>
      </c>
      <c r="D479" s="65">
        <v>411.22363196999999</v>
      </c>
      <c r="E479" s="47">
        <f t="shared" si="36"/>
        <v>8.4715907262140622E-3</v>
      </c>
      <c r="H479" s="65">
        <v>491.57869764999998</v>
      </c>
      <c r="I479" s="47">
        <f t="shared" si="37"/>
        <v>-1.2984515500834015E-2</v>
      </c>
      <c r="L479" s="65">
        <v>113.38371463999999</v>
      </c>
      <c r="M479" s="47">
        <f t="shared" si="38"/>
        <v>6.0606033330807829E-3</v>
      </c>
      <c r="P479" s="65">
        <v>983.11831385999994</v>
      </c>
      <c r="Q479" s="47">
        <f t="shared" si="39"/>
        <v>1.659267336692638E-3</v>
      </c>
    </row>
    <row r="480" spans="1:17" ht="14.4" x14ac:dyDescent="0.3">
      <c r="A480" s="63">
        <v>44902</v>
      </c>
      <c r="B480" s="64">
        <v>15862</v>
      </c>
      <c r="C480" s="47">
        <f t="shared" si="35"/>
        <v>-3.8215276079825999E-3</v>
      </c>
      <c r="D480" s="65">
        <v>422.70595689999999</v>
      </c>
      <c r="E480" s="47">
        <f t="shared" si="36"/>
        <v>2.7922337232889616E-2</v>
      </c>
      <c r="H480" s="65">
        <v>486.27007229999998</v>
      </c>
      <c r="I480" s="47">
        <f t="shared" si="37"/>
        <v>-1.0799136283524802E-2</v>
      </c>
      <c r="L480" s="65">
        <v>112.21279828999999</v>
      </c>
      <c r="M480" s="47">
        <f t="shared" si="38"/>
        <v>-1.0327024067942503E-2</v>
      </c>
      <c r="P480" s="65">
        <v>984.43876289000002</v>
      </c>
      <c r="Q480" s="47">
        <f t="shared" si="39"/>
        <v>1.3431232145555416E-3</v>
      </c>
    </row>
    <row r="481" spans="1:17" ht="14.4" x14ac:dyDescent="0.3">
      <c r="A481" s="63">
        <v>44903</v>
      </c>
      <c r="B481" s="64">
        <v>15911.09960938</v>
      </c>
      <c r="C481" s="47">
        <f t="shared" si="35"/>
        <v>3.0954236149287606E-3</v>
      </c>
      <c r="D481" s="65">
        <v>466.78650189000001</v>
      </c>
      <c r="E481" s="47">
        <f t="shared" si="36"/>
        <v>0.10428181640323597</v>
      </c>
      <c r="H481" s="65">
        <v>500.94119201000001</v>
      </c>
      <c r="I481" s="47">
        <f t="shared" si="37"/>
        <v>3.0170723114024689E-2</v>
      </c>
      <c r="L481" s="65">
        <v>128.11774303999999</v>
      </c>
      <c r="M481" s="47">
        <f t="shared" si="38"/>
        <v>0.14173913307905983</v>
      </c>
      <c r="P481" s="65">
        <v>975.59175514000003</v>
      </c>
      <c r="Q481" s="47">
        <f t="shared" si="39"/>
        <v>-8.9868543209614682E-3</v>
      </c>
    </row>
    <row r="482" spans="1:17" ht="14.4" x14ac:dyDescent="0.3">
      <c r="A482" s="63">
        <v>44904</v>
      </c>
      <c r="B482" s="64">
        <v>15812.75</v>
      </c>
      <c r="C482" s="47">
        <f t="shared" si="35"/>
        <v>-6.1811950018854089E-3</v>
      </c>
      <c r="D482" s="65">
        <v>458.27205158999999</v>
      </c>
      <c r="E482" s="47">
        <f t="shared" si="36"/>
        <v>-1.8240566652046208E-2</v>
      </c>
      <c r="H482" s="65">
        <v>513.15104960999997</v>
      </c>
      <c r="I482" s="47">
        <f t="shared" si="37"/>
        <v>2.4373834283837992E-2</v>
      </c>
      <c r="L482" s="65">
        <v>125.97107321</v>
      </c>
      <c r="M482" s="47">
        <f t="shared" si="38"/>
        <v>-1.6755445257334745E-2</v>
      </c>
      <c r="P482" s="65">
        <v>974.57940996000002</v>
      </c>
      <c r="Q482" s="47">
        <f t="shared" si="39"/>
        <v>-1.0376729555845454E-3</v>
      </c>
    </row>
    <row r="483" spans="1:17" ht="14.4" x14ac:dyDescent="0.3">
      <c r="A483" s="63">
        <v>44907</v>
      </c>
      <c r="B483" s="64">
        <v>15828</v>
      </c>
      <c r="C483" s="47">
        <f t="shared" si="35"/>
        <v>9.6441162985572149E-4</v>
      </c>
      <c r="D483" s="65">
        <v>456.13126578999999</v>
      </c>
      <c r="E483" s="47">
        <f t="shared" si="36"/>
        <v>-4.6714299782681934E-3</v>
      </c>
      <c r="H483" s="65">
        <v>529.26992797000003</v>
      </c>
      <c r="I483" s="47">
        <f t="shared" si="37"/>
        <v>3.1411566579178984E-2</v>
      </c>
      <c r="L483" s="65">
        <v>124.01953629</v>
      </c>
      <c r="M483" s="47">
        <f t="shared" si="38"/>
        <v>-1.5491944859012841E-2</v>
      </c>
      <c r="P483" s="65">
        <v>966.83277588999999</v>
      </c>
      <c r="Q483" s="47">
        <f t="shared" si="39"/>
        <v>-7.9486945761740868E-3</v>
      </c>
    </row>
    <row r="484" spans="1:17" ht="14.4" x14ac:dyDescent="0.3">
      <c r="A484" s="63">
        <v>44908</v>
      </c>
      <c r="B484" s="64">
        <v>15904.5</v>
      </c>
      <c r="C484" s="47">
        <f t="shared" si="35"/>
        <v>4.8332069749810191E-3</v>
      </c>
      <c r="D484" s="65">
        <v>476.17672420999997</v>
      </c>
      <c r="E484" s="47">
        <f t="shared" si="36"/>
        <v>4.3946687989655953E-2</v>
      </c>
      <c r="H484" s="65">
        <v>541.91413729999999</v>
      </c>
      <c r="I484" s="47">
        <f t="shared" si="37"/>
        <v>2.3889906948797224E-2</v>
      </c>
      <c r="L484" s="65">
        <v>118.36010841</v>
      </c>
      <c r="M484" s="47">
        <f t="shared" si="38"/>
        <v>-4.5633357850704548E-2</v>
      </c>
      <c r="P484" s="65">
        <v>986.85958660999995</v>
      </c>
      <c r="Q484" s="47">
        <f t="shared" si="39"/>
        <v>2.0713830994780524E-2</v>
      </c>
    </row>
    <row r="485" spans="1:17" ht="14.4" x14ac:dyDescent="0.3">
      <c r="A485" s="63">
        <v>44909</v>
      </c>
      <c r="B485" s="64">
        <v>15963.799804689999</v>
      </c>
      <c r="C485" s="47">
        <f t="shared" si="35"/>
        <v>3.7284922311295876E-3</v>
      </c>
      <c r="D485" s="65">
        <v>470.53284056000001</v>
      </c>
      <c r="E485" s="47">
        <f t="shared" si="36"/>
        <v>-1.1852497955172958E-2</v>
      </c>
      <c r="H485" s="65">
        <v>528.01517163000005</v>
      </c>
      <c r="I485" s="47">
        <f t="shared" si="37"/>
        <v>-2.564791119724108E-2</v>
      </c>
      <c r="L485" s="65">
        <v>120.84830479</v>
      </c>
      <c r="M485" s="47">
        <f t="shared" si="38"/>
        <v>2.1022254993049438E-2</v>
      </c>
      <c r="P485" s="65">
        <v>1006.00609696</v>
      </c>
      <c r="Q485" s="47">
        <f t="shared" si="39"/>
        <v>1.9401453468948837E-2</v>
      </c>
    </row>
    <row r="486" spans="1:17" ht="14.4" x14ac:dyDescent="0.3">
      <c r="A486" s="63">
        <v>44910</v>
      </c>
      <c r="B486" s="64">
        <v>15783.799804689999</v>
      </c>
      <c r="C486" s="47">
        <f t="shared" si="35"/>
        <v>-1.1275510981233805E-2</v>
      </c>
      <c r="D486" s="65">
        <v>466.44592388000001</v>
      </c>
      <c r="E486" s="47">
        <f t="shared" si="36"/>
        <v>-8.6857203742378708E-3</v>
      </c>
      <c r="H486" s="65">
        <v>535.73680850000005</v>
      </c>
      <c r="I486" s="47">
        <f t="shared" si="37"/>
        <v>1.4623892048713394E-2</v>
      </c>
      <c r="L486" s="65">
        <v>119.62860021</v>
      </c>
      <c r="M486" s="47">
        <f t="shared" si="38"/>
        <v>-1.0092856346801904E-2</v>
      </c>
      <c r="P486" s="65">
        <v>1024.00821939</v>
      </c>
      <c r="Q486" s="47">
        <f t="shared" si="39"/>
        <v>1.78946454543365E-2</v>
      </c>
    </row>
    <row r="487" spans="1:17" ht="14.4" x14ac:dyDescent="0.3">
      <c r="A487" s="63">
        <v>44911</v>
      </c>
      <c r="B487" s="64">
        <v>15636.34960938</v>
      </c>
      <c r="C487" s="47">
        <f t="shared" si="35"/>
        <v>-9.3418693302347311E-3</v>
      </c>
      <c r="D487" s="65">
        <v>464.54839835000001</v>
      </c>
      <c r="E487" s="47">
        <f t="shared" si="36"/>
        <v>-4.0680504059633638E-3</v>
      </c>
      <c r="H487" s="65">
        <v>524.25090261000003</v>
      </c>
      <c r="I487" s="47">
        <f t="shared" si="37"/>
        <v>-2.1439456292277614E-2</v>
      </c>
      <c r="L487" s="65">
        <v>116.70130982000001</v>
      </c>
      <c r="M487" s="47">
        <f t="shared" si="38"/>
        <v>-2.4469820635377615E-2</v>
      </c>
      <c r="P487" s="65">
        <v>1020.0908865599999</v>
      </c>
      <c r="Q487" s="47">
        <f t="shared" si="39"/>
        <v>-3.8254896355555124E-3</v>
      </c>
    </row>
    <row r="488" spans="1:17" ht="14.4" x14ac:dyDescent="0.3">
      <c r="A488" s="63">
        <v>44914</v>
      </c>
      <c r="B488" s="64">
        <v>15755.200195310001</v>
      </c>
      <c r="C488" s="47">
        <f t="shared" si="35"/>
        <v>7.6009163838792748E-3</v>
      </c>
      <c r="D488" s="65">
        <v>465.32688184</v>
      </c>
      <c r="E488" s="47">
        <f t="shared" si="36"/>
        <v>1.6757855430458157E-3</v>
      </c>
      <c r="H488" s="65">
        <v>521.11398764</v>
      </c>
      <c r="I488" s="47">
        <f t="shared" si="37"/>
        <v>-5.9836138657707316E-3</v>
      </c>
      <c r="L488" s="65">
        <v>121.33618702</v>
      </c>
      <c r="M488" s="47">
        <f t="shared" si="38"/>
        <v>3.9715725617380127E-2</v>
      </c>
      <c r="P488" s="65">
        <v>1004.86170801</v>
      </c>
      <c r="Q488" s="47">
        <f t="shared" si="39"/>
        <v>-1.4929236944128066E-2</v>
      </c>
    </row>
    <row r="489" spans="1:17" ht="14.4" x14ac:dyDescent="0.3">
      <c r="A489" s="63">
        <v>44915</v>
      </c>
      <c r="B489" s="64">
        <v>15726.200195310001</v>
      </c>
      <c r="C489" s="47">
        <f t="shared" si="35"/>
        <v>-1.8406621077803331E-3</v>
      </c>
      <c r="D489" s="65">
        <v>468.53803621999998</v>
      </c>
      <c r="E489" s="47">
        <f t="shared" si="36"/>
        <v>6.9008572367501575E-3</v>
      </c>
      <c r="H489" s="65">
        <v>530.91078546000006</v>
      </c>
      <c r="I489" s="47">
        <f t="shared" si="37"/>
        <v>1.8799721466635999E-2</v>
      </c>
      <c r="L489" s="65">
        <v>123.33650217</v>
      </c>
      <c r="M489" s="47">
        <f t="shared" si="38"/>
        <v>1.648572613931143E-2</v>
      </c>
      <c r="P489" s="65">
        <v>1012.2562229599999</v>
      </c>
      <c r="Q489" s="47">
        <f t="shared" si="39"/>
        <v>7.3587389100973066E-3</v>
      </c>
    </row>
    <row r="490" spans="1:17" ht="14.4" x14ac:dyDescent="0.3">
      <c r="A490" s="63">
        <v>44916</v>
      </c>
      <c r="B490" s="64">
        <v>15527.549804689999</v>
      </c>
      <c r="C490" s="47">
        <f t="shared" si="35"/>
        <v>-1.2631811127474024E-2</v>
      </c>
      <c r="D490" s="65">
        <v>447.56817122000001</v>
      </c>
      <c r="E490" s="47">
        <f t="shared" si="36"/>
        <v>-4.4755950166132652E-2</v>
      </c>
      <c r="H490" s="65">
        <v>508.90413002999998</v>
      </c>
      <c r="I490" s="47">
        <f t="shared" si="37"/>
        <v>-4.145075977488899E-2</v>
      </c>
      <c r="L490" s="65">
        <v>121.82406825</v>
      </c>
      <c r="M490" s="47">
        <f t="shared" si="38"/>
        <v>-1.2262662661823742E-2</v>
      </c>
      <c r="P490" s="65">
        <v>1023.96420411</v>
      </c>
      <c r="Q490" s="47">
        <f t="shared" si="39"/>
        <v>1.1566222942807958E-2</v>
      </c>
    </row>
    <row r="491" spans="1:17" ht="14.4" x14ac:dyDescent="0.3">
      <c r="A491" s="63">
        <v>44917</v>
      </c>
      <c r="B491" s="64">
        <v>15431.5</v>
      </c>
      <c r="C491" s="47">
        <f t="shared" si="35"/>
        <v>-6.1857669689128203E-3</v>
      </c>
      <c r="D491" s="65">
        <v>447.08163121000001</v>
      </c>
      <c r="E491" s="47">
        <f t="shared" si="36"/>
        <v>-1.08707464311808E-3</v>
      </c>
      <c r="H491" s="65">
        <v>509.24193234000001</v>
      </c>
      <c r="I491" s="47">
        <f t="shared" si="37"/>
        <v>6.6378378572040653E-4</v>
      </c>
      <c r="L491" s="65">
        <v>115.62797091</v>
      </c>
      <c r="M491" s="47">
        <f t="shared" si="38"/>
        <v>-5.0861027947980975E-2</v>
      </c>
      <c r="P491" s="65">
        <v>1025.5927580099999</v>
      </c>
      <c r="Q491" s="47">
        <f t="shared" si="39"/>
        <v>1.5904402648678762E-3</v>
      </c>
    </row>
    <row r="492" spans="1:17" ht="14.4" x14ac:dyDescent="0.3">
      <c r="A492" s="63">
        <v>44918</v>
      </c>
      <c r="B492" s="64">
        <v>15046</v>
      </c>
      <c r="C492" s="47">
        <f t="shared" si="35"/>
        <v>-2.4981369277127907E-2</v>
      </c>
      <c r="D492" s="65">
        <v>443.28659961</v>
      </c>
      <c r="E492" s="47">
        <f t="shared" si="36"/>
        <v>-8.488453416726105E-3</v>
      </c>
      <c r="H492" s="65">
        <v>503.25770237</v>
      </c>
      <c r="I492" s="47">
        <f t="shared" si="37"/>
        <v>-1.1751251399314433E-2</v>
      </c>
      <c r="L492" s="65">
        <v>112.50552763</v>
      </c>
      <c r="M492" s="47">
        <f t="shared" si="38"/>
        <v>-2.7004220997965733E-2</v>
      </c>
      <c r="P492" s="65">
        <v>1010.45160899</v>
      </c>
      <c r="Q492" s="47">
        <f t="shared" si="39"/>
        <v>-1.4763315069988292E-2</v>
      </c>
    </row>
    <row r="493" spans="1:17" ht="14.4" x14ac:dyDescent="0.3">
      <c r="A493" s="63">
        <v>44921</v>
      </c>
      <c r="B493" s="64">
        <v>15298.549804689999</v>
      </c>
      <c r="C493" s="47">
        <f t="shared" si="35"/>
        <v>1.6785179096769909E-2</v>
      </c>
      <c r="D493" s="65">
        <v>455.74204350999997</v>
      </c>
      <c r="E493" s="47">
        <f t="shared" si="36"/>
        <v>2.8097948169329312E-2</v>
      </c>
      <c r="H493" s="65">
        <v>518.36312554000006</v>
      </c>
      <c r="I493" s="47">
        <f t="shared" si="37"/>
        <v>3.0015284612364246E-2</v>
      </c>
      <c r="L493" s="65">
        <v>119.14071898</v>
      </c>
      <c r="M493" s="47">
        <f t="shared" si="38"/>
        <v>5.8976580882508678E-2</v>
      </c>
      <c r="P493" s="65">
        <v>1004.81769274</v>
      </c>
      <c r="Q493" s="47">
        <f t="shared" si="39"/>
        <v>-5.57564182181014E-3</v>
      </c>
    </row>
    <row r="494" spans="1:17" ht="14.4" x14ac:dyDescent="0.3">
      <c r="A494" s="63">
        <v>44922</v>
      </c>
      <c r="B494" s="64">
        <v>15418.34960938</v>
      </c>
      <c r="C494" s="47">
        <f t="shared" si="35"/>
        <v>7.8307948282310136E-3</v>
      </c>
      <c r="D494" s="65">
        <v>468.44071847999999</v>
      </c>
      <c r="E494" s="47">
        <f t="shared" si="36"/>
        <v>2.7863733774040833E-2</v>
      </c>
      <c r="H494" s="65">
        <v>518.02532324000003</v>
      </c>
      <c r="I494" s="47">
        <f t="shared" si="37"/>
        <v>-6.5167116130826486E-4</v>
      </c>
      <c r="L494" s="65">
        <v>120.99466946</v>
      </c>
      <c r="M494" s="47">
        <f t="shared" si="38"/>
        <v>1.556101470489879E-2</v>
      </c>
      <c r="P494" s="65">
        <v>1048.6566011899999</v>
      </c>
      <c r="Q494" s="47">
        <f t="shared" si="39"/>
        <v>4.3628718688717871E-2</v>
      </c>
    </row>
    <row r="495" spans="1:17" ht="14.4" x14ac:dyDescent="0.3">
      <c r="A495" s="63">
        <v>44923</v>
      </c>
      <c r="B495" s="64">
        <v>15432.799804689999</v>
      </c>
      <c r="C495" s="47">
        <f t="shared" si="35"/>
        <v>9.3720765685634255E-4</v>
      </c>
      <c r="D495" s="65">
        <v>462.84550829</v>
      </c>
      <c r="E495" s="47">
        <f t="shared" si="36"/>
        <v>-1.1944329280672683E-2</v>
      </c>
      <c r="H495" s="65">
        <v>521.25873936999994</v>
      </c>
      <c r="I495" s="47">
        <f t="shared" si="37"/>
        <v>6.241810940392778E-3</v>
      </c>
      <c r="L495" s="65">
        <v>126.31258078</v>
      </c>
      <c r="M495" s="47">
        <f t="shared" si="38"/>
        <v>4.3951616577274644E-2</v>
      </c>
      <c r="P495" s="65">
        <v>1047.16009209</v>
      </c>
      <c r="Q495" s="47">
        <f t="shared" si="39"/>
        <v>-1.4270725977423293E-3</v>
      </c>
    </row>
    <row r="496" spans="1:17" ht="14.4" x14ac:dyDescent="0.3">
      <c r="A496" s="63">
        <v>44924</v>
      </c>
      <c r="B496" s="64">
        <v>15485.200195310001</v>
      </c>
      <c r="C496" s="47">
        <f t="shared" si="35"/>
        <v>3.395391068578224E-3</v>
      </c>
      <c r="D496" s="65">
        <v>491.162147</v>
      </c>
      <c r="E496" s="47">
        <f t="shared" si="36"/>
        <v>6.1179460970933741E-2</v>
      </c>
      <c r="H496" s="65">
        <v>530.66948431000003</v>
      </c>
      <c r="I496" s="47">
        <f t="shared" si="37"/>
        <v>1.805388424062504E-2</v>
      </c>
      <c r="L496" s="65">
        <v>136.70447131</v>
      </c>
      <c r="M496" s="47">
        <f t="shared" si="38"/>
        <v>8.2271223229138712E-2</v>
      </c>
      <c r="P496" s="65">
        <v>1068.8154556899999</v>
      </c>
      <c r="Q496" s="47">
        <f t="shared" si="39"/>
        <v>2.0680088711916511E-2</v>
      </c>
    </row>
    <row r="497" spans="1:17" ht="14.4" x14ac:dyDescent="0.3">
      <c r="A497" s="63">
        <v>44925</v>
      </c>
      <c r="B497" s="64">
        <v>15448.84960938</v>
      </c>
      <c r="C497" s="47">
        <f t="shared" si="35"/>
        <v>-2.3474404897271262E-3</v>
      </c>
      <c r="D497" s="65">
        <v>481.13943239000002</v>
      </c>
      <c r="E497" s="47">
        <f t="shared" si="36"/>
        <v>-2.0406121830068402E-2</v>
      </c>
      <c r="H497" s="65">
        <v>539.45287519999999</v>
      </c>
      <c r="I497" s="47">
        <f t="shared" si="37"/>
        <v>1.655152811626337E-2</v>
      </c>
      <c r="L497" s="65">
        <v>123.33650217</v>
      </c>
      <c r="M497" s="47">
        <f t="shared" si="38"/>
        <v>-9.7787358466760899E-2</v>
      </c>
      <c r="P497" s="65">
        <v>1069.03553104</v>
      </c>
      <c r="Q497" s="47">
        <f t="shared" si="39"/>
        <v>2.0590584541846368E-4</v>
      </c>
    </row>
    <row r="498" spans="1:17" ht="14.4" x14ac:dyDescent="0.3">
      <c r="A498" s="63">
        <v>44928</v>
      </c>
      <c r="B498" s="64">
        <v>15523.65039063</v>
      </c>
      <c r="C498" s="47">
        <f t="shared" si="35"/>
        <v>4.8418350324663795E-3</v>
      </c>
      <c r="D498" s="65">
        <v>470.92209202999999</v>
      </c>
      <c r="E498" s="47">
        <f t="shared" si="36"/>
        <v>-2.1235716036090979E-2</v>
      </c>
      <c r="H498" s="65">
        <v>545.24410286</v>
      </c>
      <c r="I498" s="47">
        <f t="shared" si="37"/>
        <v>1.0735372682651789E-2</v>
      </c>
      <c r="L498" s="65">
        <v>123.77559518</v>
      </c>
      <c r="M498" s="47">
        <f t="shared" si="38"/>
        <v>3.5601221234147218E-3</v>
      </c>
      <c r="P498" s="65">
        <v>1054.59862129</v>
      </c>
      <c r="Q498" s="47">
        <f t="shared" si="39"/>
        <v>-1.3504611709168612E-2</v>
      </c>
    </row>
    <row r="499" spans="1:17" ht="14.4" x14ac:dyDescent="0.3">
      <c r="A499" s="63">
        <v>44929</v>
      </c>
      <c r="B499" s="64">
        <v>15557.799804689999</v>
      </c>
      <c r="C499" s="47">
        <f t="shared" si="35"/>
        <v>2.1998314314404244E-3</v>
      </c>
      <c r="D499" s="65">
        <v>461.53185024999999</v>
      </c>
      <c r="E499" s="47">
        <f t="shared" si="36"/>
        <v>-1.9940117354702025E-2</v>
      </c>
      <c r="H499" s="65">
        <v>549.53922476000002</v>
      </c>
      <c r="I499" s="47">
        <f t="shared" si="37"/>
        <v>7.8774293522305694E-3</v>
      </c>
      <c r="L499" s="65">
        <v>122.16558581</v>
      </c>
      <c r="M499" s="47">
        <f t="shared" si="38"/>
        <v>-1.3007486392278333E-2</v>
      </c>
      <c r="P499" s="65">
        <v>1040.86595184</v>
      </c>
      <c r="Q499" s="47">
        <f t="shared" si="39"/>
        <v>-1.3021702449413364E-2</v>
      </c>
    </row>
    <row r="500" spans="1:17" ht="14.4" x14ac:dyDescent="0.3">
      <c r="A500" s="63">
        <v>44930</v>
      </c>
      <c r="B500" s="64">
        <v>15393</v>
      </c>
      <c r="C500" s="47">
        <f t="shared" si="35"/>
        <v>-1.059274490987594E-2</v>
      </c>
      <c r="D500" s="65">
        <v>464.45109035000002</v>
      </c>
      <c r="E500" s="47">
        <f t="shared" si="36"/>
        <v>6.3251108204531725E-3</v>
      </c>
      <c r="H500" s="65">
        <v>536.75026369</v>
      </c>
      <c r="I500" s="47">
        <f t="shared" si="37"/>
        <v>-2.32721532763841E-2</v>
      </c>
      <c r="L500" s="65">
        <v>118.16495551</v>
      </c>
      <c r="M500" s="47">
        <f t="shared" si="38"/>
        <v>-3.2747604601364944E-2</v>
      </c>
      <c r="P500" s="65">
        <v>1029.06994014</v>
      </c>
      <c r="Q500" s="47">
        <f t="shared" si="39"/>
        <v>-1.1332882662890009E-2</v>
      </c>
    </row>
    <row r="501" spans="1:17" ht="14.4" x14ac:dyDescent="0.3">
      <c r="A501" s="63">
        <v>44931</v>
      </c>
      <c r="B501" s="64">
        <v>15386.200195310001</v>
      </c>
      <c r="C501" s="47">
        <f t="shared" si="35"/>
        <v>-4.4174655297857246E-4</v>
      </c>
      <c r="D501" s="65">
        <v>467.07841617000003</v>
      </c>
      <c r="E501" s="47">
        <f t="shared" si="36"/>
        <v>5.6568406762058654E-3</v>
      </c>
      <c r="H501" s="65">
        <v>525.31260838000003</v>
      </c>
      <c r="I501" s="47">
        <f t="shared" si="37"/>
        <v>-2.1309081864943069E-2</v>
      </c>
      <c r="L501" s="65">
        <v>118.26253196</v>
      </c>
      <c r="M501" s="47">
        <f t="shared" si="38"/>
        <v>8.2576470814776926E-4</v>
      </c>
      <c r="P501" s="65">
        <v>1015.20522589</v>
      </c>
      <c r="Q501" s="47">
        <f t="shared" si="39"/>
        <v>-1.347305339432403E-2</v>
      </c>
    </row>
    <row r="502" spans="1:17" ht="14.4" x14ac:dyDescent="0.3">
      <c r="A502" s="63">
        <v>44932</v>
      </c>
      <c r="B502" s="64">
        <v>15272</v>
      </c>
      <c r="C502" s="47">
        <f t="shared" si="35"/>
        <v>-7.4222481093682013E-3</v>
      </c>
      <c r="D502" s="65">
        <v>473.06284864000003</v>
      </c>
      <c r="E502" s="47">
        <f t="shared" si="36"/>
        <v>1.281247915301198E-2</v>
      </c>
      <c r="H502" s="65">
        <v>513.87495306999995</v>
      </c>
      <c r="I502" s="47">
        <f t="shared" si="37"/>
        <v>-2.1773045473384767E-2</v>
      </c>
      <c r="L502" s="65">
        <v>115.43281802</v>
      </c>
      <c r="M502" s="47">
        <f t="shared" si="38"/>
        <v>-2.3927391821419008E-2</v>
      </c>
      <c r="P502" s="65">
        <v>1053.1021121900001</v>
      </c>
      <c r="Q502" s="47">
        <f t="shared" si="39"/>
        <v>3.7329286072948609E-2</v>
      </c>
    </row>
    <row r="503" spans="1:17" ht="14.4" x14ac:dyDescent="0.3">
      <c r="A503" s="63">
        <v>44935</v>
      </c>
      <c r="B503" s="64">
        <v>15450.09960938</v>
      </c>
      <c r="C503" s="47">
        <f t="shared" si="35"/>
        <v>1.1661839273179764E-2</v>
      </c>
      <c r="D503" s="65">
        <v>500.45505158999998</v>
      </c>
      <c r="E503" s="47">
        <f t="shared" si="36"/>
        <v>5.7903940308881463E-2</v>
      </c>
      <c r="H503" s="65">
        <v>512.42714616000001</v>
      </c>
      <c r="I503" s="47">
        <f t="shared" si="37"/>
        <v>-2.8174303910911691E-3</v>
      </c>
      <c r="L503" s="65">
        <v>117.14040383</v>
      </c>
      <c r="M503" s="47">
        <f t="shared" si="38"/>
        <v>1.4792897195874843E-2</v>
      </c>
      <c r="P503" s="65">
        <v>1027.6174463100001</v>
      </c>
      <c r="Q503" s="47">
        <f t="shared" si="39"/>
        <v>-2.4199615198760571E-2</v>
      </c>
    </row>
    <row r="504" spans="1:17" ht="14.4" x14ac:dyDescent="0.3">
      <c r="A504" s="63">
        <v>44936</v>
      </c>
      <c r="B504" s="64">
        <v>15325.25</v>
      </c>
      <c r="C504" s="47">
        <f t="shared" si="35"/>
        <v>-8.080828767227044E-3</v>
      </c>
      <c r="D504" s="65">
        <v>496.95198292999999</v>
      </c>
      <c r="E504" s="47">
        <f t="shared" si="36"/>
        <v>-6.9997668099669452E-3</v>
      </c>
      <c r="H504" s="65">
        <v>491.77174822000001</v>
      </c>
      <c r="I504" s="47">
        <f t="shared" si="37"/>
        <v>-4.0308945563845233E-2</v>
      </c>
      <c r="L504" s="65">
        <v>122.31195047999999</v>
      </c>
      <c r="M504" s="47">
        <f t="shared" si="38"/>
        <v>4.4148274044754077E-2</v>
      </c>
      <c r="P504" s="65">
        <v>1038.53315866</v>
      </c>
      <c r="Q504" s="47">
        <f t="shared" si="39"/>
        <v>1.0622350164641858E-2</v>
      </c>
    </row>
    <row r="505" spans="1:17" ht="14.4" x14ac:dyDescent="0.3">
      <c r="A505" s="63">
        <v>44937</v>
      </c>
      <c r="B505" s="64">
        <v>15301.34960938</v>
      </c>
      <c r="C505" s="47">
        <f t="shared" si="35"/>
        <v>-1.5595432779236251E-3</v>
      </c>
      <c r="D505" s="65">
        <v>483.57213246999999</v>
      </c>
      <c r="E505" s="47">
        <f t="shared" si="36"/>
        <v>-2.6923829503834873E-2</v>
      </c>
      <c r="H505" s="65">
        <v>504.41590929</v>
      </c>
      <c r="I505" s="47">
        <f t="shared" si="37"/>
        <v>2.5711442586456856E-2</v>
      </c>
      <c r="L505" s="65">
        <v>120.40921178000001</v>
      </c>
      <c r="M505" s="47">
        <f t="shared" si="38"/>
        <v>-1.5556441480435002E-2</v>
      </c>
      <c r="P505" s="65">
        <v>1030.39038916</v>
      </c>
      <c r="Q505" s="47">
        <f t="shared" si="39"/>
        <v>-7.8406446940090246E-3</v>
      </c>
    </row>
    <row r="506" spans="1:17" ht="14.4" x14ac:dyDescent="0.3">
      <c r="A506" s="63">
        <v>44938</v>
      </c>
      <c r="B506" s="64">
        <v>15279.59960938</v>
      </c>
      <c r="C506" s="47">
        <f t="shared" si="35"/>
        <v>-1.4214432422788859E-3</v>
      </c>
      <c r="D506" s="65">
        <v>476.85786078000001</v>
      </c>
      <c r="E506" s="47">
        <f t="shared" si="36"/>
        <v>-1.3884736607348902E-2</v>
      </c>
      <c r="H506" s="65">
        <v>501.32729315</v>
      </c>
      <c r="I506" s="47">
        <f t="shared" si="37"/>
        <v>-6.1231536974070133E-3</v>
      </c>
      <c r="L506" s="65">
        <v>118.11616729000001</v>
      </c>
      <c r="M506" s="47">
        <f t="shared" si="38"/>
        <v>-1.9043762982101642E-2</v>
      </c>
      <c r="P506" s="65">
        <v>1010.18751939</v>
      </c>
      <c r="Q506" s="47">
        <f t="shared" si="39"/>
        <v>-1.9607005250184772E-2</v>
      </c>
    </row>
    <row r="507" spans="1:17" ht="14.4" x14ac:dyDescent="0.3">
      <c r="A507" s="63">
        <v>44939</v>
      </c>
      <c r="B507" s="64">
        <v>15346.09960938</v>
      </c>
      <c r="C507" s="47">
        <f t="shared" si="35"/>
        <v>4.3522082842522014E-3</v>
      </c>
      <c r="D507" s="65">
        <v>472.47900062000002</v>
      </c>
      <c r="E507" s="47">
        <f t="shared" si="36"/>
        <v>-9.1827366604326777E-3</v>
      </c>
      <c r="H507" s="65">
        <v>501.76159661999998</v>
      </c>
      <c r="I507" s="47">
        <f t="shared" si="37"/>
        <v>8.6630725263558972E-4</v>
      </c>
      <c r="L507" s="65">
        <v>117.48192139</v>
      </c>
      <c r="M507" s="47">
        <f t="shared" si="38"/>
        <v>-5.3696789741136675E-3</v>
      </c>
      <c r="P507" s="65">
        <v>1006.22617231</v>
      </c>
      <c r="Q507" s="47">
        <f t="shared" si="39"/>
        <v>-3.9213977642409414E-3</v>
      </c>
    </row>
    <row r="508" spans="1:17" ht="14.4" x14ac:dyDescent="0.3">
      <c r="A508" s="63">
        <v>44942</v>
      </c>
      <c r="B508" s="64">
        <v>15305.450195310001</v>
      </c>
      <c r="C508" s="47">
        <f t="shared" si="35"/>
        <v>-2.6488433611595585E-3</v>
      </c>
      <c r="D508" s="65">
        <v>471.06805403999999</v>
      </c>
      <c r="E508" s="47">
        <f t="shared" si="36"/>
        <v>-2.9862630469259521E-3</v>
      </c>
      <c r="H508" s="65">
        <v>511.22064039000003</v>
      </c>
      <c r="I508" s="47">
        <f t="shared" si="37"/>
        <v>1.885166946557626E-2</v>
      </c>
      <c r="L508" s="65">
        <v>115.38402979</v>
      </c>
      <c r="M508" s="47">
        <f t="shared" si="38"/>
        <v>-1.7857144105055234E-2</v>
      </c>
      <c r="P508" s="65">
        <v>1014.45697134</v>
      </c>
      <c r="Q508" s="47">
        <f t="shared" si="39"/>
        <v>8.1798697514541274E-3</v>
      </c>
    </row>
    <row r="509" spans="1:17" ht="14.4" x14ac:dyDescent="0.3">
      <c r="A509" s="63">
        <v>44943</v>
      </c>
      <c r="B509" s="64">
        <v>15396.15039063</v>
      </c>
      <c r="C509" s="47">
        <f t="shared" si="35"/>
        <v>5.92600636783569E-3</v>
      </c>
      <c r="D509" s="65">
        <v>470.04630054</v>
      </c>
      <c r="E509" s="47">
        <f t="shared" si="36"/>
        <v>-2.1690146280078926E-3</v>
      </c>
      <c r="H509" s="65">
        <v>514.64710709999997</v>
      </c>
      <c r="I509" s="47">
        <f t="shared" si="37"/>
        <v>6.7025202804527062E-3</v>
      </c>
      <c r="L509" s="65">
        <v>115.67675813</v>
      </c>
      <c r="M509" s="47">
        <f t="shared" si="38"/>
        <v>2.5369918222890586E-3</v>
      </c>
      <c r="P509" s="65">
        <v>1004.94973754</v>
      </c>
      <c r="Q509" s="47">
        <f t="shared" si="39"/>
        <v>-9.3717467261739129E-3</v>
      </c>
    </row>
    <row r="510" spans="1:17" ht="14.4" x14ac:dyDescent="0.3">
      <c r="A510" s="63">
        <v>44944</v>
      </c>
      <c r="B510" s="64">
        <v>15466.34960938</v>
      </c>
      <c r="C510" s="47">
        <f t="shared" si="35"/>
        <v>4.5595305949155396E-3</v>
      </c>
      <c r="D510" s="65">
        <v>475.44691418999997</v>
      </c>
      <c r="E510" s="47">
        <f t="shared" si="36"/>
        <v>1.1489535485750269E-2</v>
      </c>
      <c r="H510" s="65">
        <v>501.13424257999998</v>
      </c>
      <c r="I510" s="47">
        <f t="shared" si="37"/>
        <v>-2.6256563640557617E-2</v>
      </c>
      <c r="L510" s="65">
        <v>115.96948747</v>
      </c>
      <c r="M510" s="47">
        <f t="shared" si="38"/>
        <v>2.5305804271504861E-3</v>
      </c>
      <c r="P510" s="65">
        <v>1003.9814086600001</v>
      </c>
      <c r="Q510" s="47">
        <f t="shared" si="39"/>
        <v>-9.6355951330495682E-4</v>
      </c>
    </row>
    <row r="511" spans="1:17" ht="14.4" x14ac:dyDescent="0.3">
      <c r="A511" s="63">
        <v>44945</v>
      </c>
      <c r="B511" s="64">
        <v>15419.700195310001</v>
      </c>
      <c r="C511" s="47">
        <f t="shared" si="35"/>
        <v>-3.0161877397176795E-3</v>
      </c>
      <c r="D511" s="65">
        <v>475.05768217999997</v>
      </c>
      <c r="E511" s="47">
        <f t="shared" si="36"/>
        <v>-8.1866555104925798E-4</v>
      </c>
      <c r="H511" s="65">
        <v>516.91531863</v>
      </c>
      <c r="I511" s="47">
        <f t="shared" si="37"/>
        <v>3.1490715878352171E-2</v>
      </c>
      <c r="L511" s="65">
        <v>115.67675813</v>
      </c>
      <c r="M511" s="47">
        <f t="shared" si="38"/>
        <v>-2.52419275437199E-3</v>
      </c>
      <c r="P511" s="65">
        <v>1005.52193304</v>
      </c>
      <c r="Q511" s="47">
        <f t="shared" si="39"/>
        <v>1.5344152458520721E-3</v>
      </c>
    </row>
    <row r="512" spans="1:17" ht="14.4" x14ac:dyDescent="0.3">
      <c r="A512" s="63">
        <v>44946</v>
      </c>
      <c r="B512" s="64">
        <v>15347.90039063</v>
      </c>
      <c r="C512" s="47">
        <f t="shared" si="35"/>
        <v>-4.6563683969574887E-3</v>
      </c>
      <c r="D512" s="65">
        <v>471.31132405</v>
      </c>
      <c r="E512" s="47">
        <f t="shared" si="36"/>
        <v>-7.886112088132613E-3</v>
      </c>
      <c r="H512" s="65">
        <v>534.48205215999997</v>
      </c>
      <c r="I512" s="47">
        <f t="shared" si="37"/>
        <v>3.3983774318311344E-2</v>
      </c>
      <c r="L512" s="65">
        <v>114.74978289000001</v>
      </c>
      <c r="M512" s="47">
        <f t="shared" si="38"/>
        <v>-8.0134960123816601E-3</v>
      </c>
      <c r="P512" s="65">
        <v>999.71195670999998</v>
      </c>
      <c r="Q512" s="47">
        <f t="shared" si="39"/>
        <v>-5.7780702131824402E-3</v>
      </c>
    </row>
    <row r="513" spans="1:17" ht="14.4" x14ac:dyDescent="0.3">
      <c r="A513" s="63">
        <v>44949</v>
      </c>
      <c r="B513" s="64">
        <v>15403.200195310001</v>
      </c>
      <c r="C513" s="47">
        <f t="shared" si="35"/>
        <v>3.603085977399223E-3</v>
      </c>
      <c r="D513" s="65">
        <v>457.93147357999999</v>
      </c>
      <c r="E513" s="47">
        <f t="shared" si="36"/>
        <v>-2.8388561418440594E-2</v>
      </c>
      <c r="H513" s="65">
        <v>533.66164755</v>
      </c>
      <c r="I513" s="47">
        <f t="shared" si="37"/>
        <v>-1.5349525894919891E-3</v>
      </c>
      <c r="L513" s="65">
        <v>113.33492642</v>
      </c>
      <c r="M513" s="47">
        <f t="shared" si="38"/>
        <v>-1.2329927206540248E-2</v>
      </c>
      <c r="P513" s="65">
        <v>997.86332848999996</v>
      </c>
      <c r="Q513" s="47">
        <f t="shared" si="39"/>
        <v>-1.8491608583773855E-3</v>
      </c>
    </row>
    <row r="514" spans="1:17" ht="14.4" x14ac:dyDescent="0.3">
      <c r="A514" s="63">
        <v>44950</v>
      </c>
      <c r="B514" s="64">
        <v>15388.549804689999</v>
      </c>
      <c r="C514" s="47">
        <f t="shared" si="35"/>
        <v>-9.5112641751304849E-4</v>
      </c>
      <c r="D514" s="65">
        <v>452.14162792000002</v>
      </c>
      <c r="E514" s="47">
        <f t="shared" si="36"/>
        <v>-1.2643476140079102E-2</v>
      </c>
      <c r="H514" s="65">
        <v>500.16903796999998</v>
      </c>
      <c r="I514" s="47">
        <f t="shared" si="37"/>
        <v>-6.2760008581770999E-2</v>
      </c>
      <c r="L514" s="65">
        <v>111.09067016</v>
      </c>
      <c r="M514" s="47">
        <f t="shared" si="38"/>
        <v>-1.980198276816425E-2</v>
      </c>
      <c r="P514" s="65">
        <v>1003.05709404</v>
      </c>
      <c r="Q514" s="47">
        <f t="shared" si="39"/>
        <v>5.2048866830887164E-3</v>
      </c>
    </row>
    <row r="515" spans="1:17" ht="14.4" x14ac:dyDescent="0.3">
      <c r="A515" s="63">
        <v>44951</v>
      </c>
      <c r="B515" s="64">
        <v>15171.950195310001</v>
      </c>
      <c r="C515" s="47">
        <f t="shared" si="35"/>
        <v>-1.4075375011229796E-2</v>
      </c>
      <c r="D515" s="65">
        <v>453.26066995999997</v>
      </c>
      <c r="E515" s="47">
        <f t="shared" si="36"/>
        <v>2.4749812246838143E-3</v>
      </c>
      <c r="H515" s="65">
        <v>506.10501735999998</v>
      </c>
      <c r="I515" s="47">
        <f t="shared" si="37"/>
        <v>1.1867946512826855E-2</v>
      </c>
      <c r="L515" s="65">
        <v>109.52944900999999</v>
      </c>
      <c r="M515" s="47">
        <f t="shared" si="38"/>
        <v>-1.4053575766096671E-2</v>
      </c>
      <c r="P515" s="65">
        <v>996.58689371000003</v>
      </c>
      <c r="Q515" s="47">
        <f t="shared" si="39"/>
        <v>-6.4504806041898455E-3</v>
      </c>
    </row>
    <row r="516" spans="1:17" ht="14.4" x14ac:dyDescent="0.3">
      <c r="A516" s="63">
        <v>44953</v>
      </c>
      <c r="B516" s="64">
        <v>14874.75</v>
      </c>
      <c r="C516" s="47">
        <f t="shared" ref="C516:C579" si="40">B516/B515-1</f>
        <v>-1.9588793232518831E-2</v>
      </c>
      <c r="D516" s="65">
        <v>452.04431992000002</v>
      </c>
      <c r="E516" s="47">
        <f t="shared" ref="E516:E579" si="41">D516/D515-1</f>
        <v>-2.6835552268571483E-3</v>
      </c>
      <c r="H516" s="65">
        <v>482.79535500999998</v>
      </c>
      <c r="I516" s="47">
        <f t="shared" ref="I516:I579" si="42">H516/H515-1</f>
        <v>-4.6056967527392634E-2</v>
      </c>
      <c r="L516" s="65">
        <v>100.74757784000001</v>
      </c>
      <c r="M516" s="47">
        <f t="shared" ref="M516:M579" si="43">L516/L515-1</f>
        <v>-8.0178173535760289E-2</v>
      </c>
      <c r="P516" s="65">
        <v>969.78177880999999</v>
      </c>
      <c r="Q516" s="47">
        <f t="shared" ref="Q516:Q579" si="44">P516/P515-1</f>
        <v>-2.6896916936377191E-2</v>
      </c>
    </row>
    <row r="517" spans="1:17" ht="14.4" x14ac:dyDescent="0.3">
      <c r="A517" s="63">
        <v>44956</v>
      </c>
      <c r="B517" s="64">
        <v>14854.200195310001</v>
      </c>
      <c r="C517" s="47">
        <f t="shared" si="40"/>
        <v>-1.3815226938267422E-3</v>
      </c>
      <c r="D517" s="65">
        <v>446.40046545000001</v>
      </c>
      <c r="E517" s="47">
        <f t="shared" si="41"/>
        <v>-1.2485179486380504E-2</v>
      </c>
      <c r="H517" s="65">
        <v>481.78187086999998</v>
      </c>
      <c r="I517" s="47">
        <f t="shared" si="42"/>
        <v>-2.099200270845647E-3</v>
      </c>
      <c r="L517" s="65">
        <v>103.77244468000001</v>
      </c>
      <c r="M517" s="47">
        <f t="shared" si="43"/>
        <v>3.0024214029283014E-2</v>
      </c>
      <c r="P517" s="65">
        <v>950.28314831</v>
      </c>
      <c r="Q517" s="47">
        <f t="shared" si="44"/>
        <v>-2.0106204226611024E-2</v>
      </c>
    </row>
    <row r="518" spans="1:17" ht="14.4" x14ac:dyDescent="0.3">
      <c r="A518" s="63">
        <v>44957</v>
      </c>
      <c r="B518" s="64">
        <v>14935.5</v>
      </c>
      <c r="C518" s="47">
        <f t="shared" si="40"/>
        <v>5.4731862786976393E-3</v>
      </c>
      <c r="D518" s="65">
        <v>442.65409758999999</v>
      </c>
      <c r="E518" s="47">
        <f t="shared" si="41"/>
        <v>-8.3923923695362612E-3</v>
      </c>
      <c r="H518" s="65">
        <v>497.36992529999998</v>
      </c>
      <c r="I518" s="47">
        <f t="shared" si="42"/>
        <v>3.2355004147107458E-2</v>
      </c>
      <c r="L518" s="65">
        <v>106.60215862</v>
      </c>
      <c r="M518" s="47">
        <f t="shared" si="43"/>
        <v>2.7268452128365039E-2</v>
      </c>
      <c r="P518" s="65">
        <v>946.10172692000003</v>
      </c>
      <c r="Q518" s="47">
        <f t="shared" si="44"/>
        <v>-4.4001847211920797E-3</v>
      </c>
    </row>
    <row r="519" spans="1:17" ht="14.4" x14ac:dyDescent="0.3">
      <c r="A519" s="63">
        <v>44958</v>
      </c>
      <c r="B519" s="64">
        <v>14847.65039063</v>
      </c>
      <c r="C519" s="47">
        <f t="shared" si="40"/>
        <v>-5.8819329362926887E-3</v>
      </c>
      <c r="D519" s="65">
        <v>444.21103538</v>
      </c>
      <c r="E519" s="47">
        <f t="shared" si="41"/>
        <v>3.5172786120734045E-3</v>
      </c>
      <c r="H519" s="65">
        <v>497.41817587999998</v>
      </c>
      <c r="I519" s="47">
        <f t="shared" si="42"/>
        <v>9.7011454745388193E-5</v>
      </c>
      <c r="L519" s="65">
        <v>104.84578458999999</v>
      </c>
      <c r="M519" s="47">
        <f t="shared" si="43"/>
        <v>-1.6475970587620736E-2</v>
      </c>
      <c r="P519" s="65">
        <v>1010.58365379</v>
      </c>
      <c r="Q519" s="47">
        <f t="shared" si="44"/>
        <v>6.8155384389708917E-2</v>
      </c>
    </row>
    <row r="520" spans="1:17" ht="14.4" x14ac:dyDescent="0.3">
      <c r="A520" s="63">
        <v>44959</v>
      </c>
      <c r="B520" s="64">
        <v>14839.40039063</v>
      </c>
      <c r="C520" s="47">
        <f t="shared" si="40"/>
        <v>-5.5564347105085954E-4</v>
      </c>
      <c r="D520" s="65">
        <v>460.89934821999998</v>
      </c>
      <c r="E520" s="47">
        <f t="shared" si="41"/>
        <v>3.7568433719175731E-2</v>
      </c>
      <c r="H520" s="65">
        <v>487.57309851999997</v>
      </c>
      <c r="I520" s="47">
        <f t="shared" si="42"/>
        <v>-1.9792355481547785E-2</v>
      </c>
      <c r="L520" s="65">
        <v>104.50426702999999</v>
      </c>
      <c r="M520" s="47">
        <f t="shared" si="43"/>
        <v>-3.2573322936683136E-3</v>
      </c>
      <c r="P520" s="65">
        <v>1010.14350411</v>
      </c>
      <c r="Q520" s="47">
        <f t="shared" si="44"/>
        <v>-4.3554007463830757E-4</v>
      </c>
    </row>
    <row r="521" spans="1:17" ht="14.4" x14ac:dyDescent="0.3">
      <c r="A521" s="63">
        <v>44960</v>
      </c>
      <c r="B521" s="64">
        <v>14962.34960938</v>
      </c>
      <c r="C521" s="47">
        <f t="shared" si="40"/>
        <v>8.2853225543826348E-3</v>
      </c>
      <c r="D521" s="65">
        <v>455.79067805</v>
      </c>
      <c r="E521" s="47">
        <f t="shared" si="41"/>
        <v>-1.1084134073371388E-2</v>
      </c>
      <c r="H521" s="65">
        <v>490.46871234999998</v>
      </c>
      <c r="I521" s="47">
        <f t="shared" si="42"/>
        <v>5.9388301749818684E-3</v>
      </c>
      <c r="L521" s="65">
        <v>105.87033628</v>
      </c>
      <c r="M521" s="47">
        <f t="shared" si="43"/>
        <v>1.3071899251806185E-2</v>
      </c>
      <c r="P521" s="65">
        <v>1015.9974946900001</v>
      </c>
      <c r="Q521" s="47">
        <f t="shared" si="44"/>
        <v>5.7952068752427088E-3</v>
      </c>
    </row>
    <row r="522" spans="1:17" ht="14.4" x14ac:dyDescent="0.3">
      <c r="A522" s="63">
        <v>44963</v>
      </c>
      <c r="B522" s="64">
        <v>14934.15039063</v>
      </c>
      <c r="C522" s="47">
        <f t="shared" si="40"/>
        <v>-1.8846785088032503E-3</v>
      </c>
      <c r="D522" s="65">
        <v>448.73584779999999</v>
      </c>
      <c r="E522" s="47">
        <f t="shared" si="41"/>
        <v>-1.5478224083437908E-2</v>
      </c>
      <c r="H522" s="65">
        <v>478.21063312000001</v>
      </c>
      <c r="I522" s="47">
        <f t="shared" si="42"/>
        <v>-2.4992581425362315E-2</v>
      </c>
      <c r="L522" s="65">
        <v>99.966967269999998</v>
      </c>
      <c r="M522" s="47">
        <f t="shared" si="43"/>
        <v>-5.576036893268288E-2</v>
      </c>
      <c r="P522" s="65">
        <v>1022.02754534</v>
      </c>
      <c r="Q522" s="47">
        <f t="shared" si="44"/>
        <v>5.9351038575541359E-3</v>
      </c>
    </row>
    <row r="523" spans="1:17" ht="14.4" x14ac:dyDescent="0.3">
      <c r="A523" s="63">
        <v>44964</v>
      </c>
      <c r="B523" s="64">
        <v>14902.200195310001</v>
      </c>
      <c r="C523" s="47">
        <f t="shared" si="40"/>
        <v>-2.1394049533641768E-3</v>
      </c>
      <c r="D523" s="65">
        <v>445.42738542000001</v>
      </c>
      <c r="E523" s="47">
        <f t="shared" si="41"/>
        <v>-7.37285063410964E-3</v>
      </c>
      <c r="H523" s="65">
        <v>472.99850893000001</v>
      </c>
      <c r="I523" s="47">
        <f t="shared" si="42"/>
        <v>-1.0899222704427225E-2</v>
      </c>
      <c r="L523" s="65">
        <v>100.35727206</v>
      </c>
      <c r="M523" s="47">
        <f t="shared" si="43"/>
        <v>3.9043376093008675E-3</v>
      </c>
      <c r="P523" s="65">
        <v>1035.2320355899999</v>
      </c>
      <c r="Q523" s="47">
        <f t="shared" si="44"/>
        <v>1.2919896640953166E-2</v>
      </c>
    </row>
    <row r="524" spans="1:17" ht="14.4" x14ac:dyDescent="0.3">
      <c r="A524" s="63">
        <v>44965</v>
      </c>
      <c r="B524" s="64">
        <v>15028.299804689999</v>
      </c>
      <c r="C524" s="47">
        <f t="shared" si="40"/>
        <v>8.4618115263064286E-3</v>
      </c>
      <c r="D524" s="65">
        <v>448.88180980999999</v>
      </c>
      <c r="E524" s="47">
        <f t="shared" si="41"/>
        <v>7.7553031157766572E-3</v>
      </c>
      <c r="H524" s="65">
        <v>470.39247578999999</v>
      </c>
      <c r="I524" s="47">
        <f t="shared" si="42"/>
        <v>-5.5096011737865158E-3</v>
      </c>
      <c r="L524" s="65">
        <v>99.527873260000007</v>
      </c>
      <c r="M524" s="47">
        <f t="shared" si="43"/>
        <v>-8.2644613885491935E-3</v>
      </c>
      <c r="P524" s="65">
        <v>1047.33615216</v>
      </c>
      <c r="Q524" s="47">
        <f t="shared" si="44"/>
        <v>1.1692177361089628E-2</v>
      </c>
    </row>
    <row r="525" spans="1:17" ht="14.4" x14ac:dyDescent="0.3">
      <c r="A525" s="63">
        <v>44966</v>
      </c>
      <c r="B525" s="64">
        <v>15030.09960938</v>
      </c>
      <c r="C525" s="47">
        <f t="shared" si="40"/>
        <v>1.1976103174626829E-4</v>
      </c>
      <c r="D525" s="65">
        <v>451.75240564000001</v>
      </c>
      <c r="E525" s="47">
        <f t="shared" si="41"/>
        <v>6.3949925509680927E-3</v>
      </c>
      <c r="H525" s="65">
        <v>468.07598473000002</v>
      </c>
      <c r="I525" s="47">
        <f t="shared" si="42"/>
        <v>-4.924592078369372E-3</v>
      </c>
      <c r="L525" s="65">
        <v>97.478771890000004</v>
      </c>
      <c r="M525" s="47">
        <f t="shared" si="43"/>
        <v>-2.0588216173845764E-2</v>
      </c>
      <c r="P525" s="65">
        <v>1038.75323299</v>
      </c>
      <c r="Q525" s="47">
        <f t="shared" si="44"/>
        <v>-8.194999430028993E-3</v>
      </c>
    </row>
    <row r="526" spans="1:17" ht="14.4" x14ac:dyDescent="0.3">
      <c r="A526" s="63">
        <v>44967</v>
      </c>
      <c r="B526" s="64">
        <v>15015.84960938</v>
      </c>
      <c r="C526" s="47">
        <f t="shared" si="40"/>
        <v>-9.4809750902158374E-4</v>
      </c>
      <c r="D526" s="65">
        <v>463.96455033000001</v>
      </c>
      <c r="E526" s="47">
        <f t="shared" si="41"/>
        <v>2.7032827136136639E-2</v>
      </c>
      <c r="H526" s="65">
        <v>477.48672965999998</v>
      </c>
      <c r="I526" s="47">
        <f t="shared" si="42"/>
        <v>2.0105165052269003E-2</v>
      </c>
      <c r="L526" s="65">
        <v>98.942415589999996</v>
      </c>
      <c r="M526" s="47">
        <f t="shared" si="43"/>
        <v>1.5014999385216221E-2</v>
      </c>
      <c r="P526" s="65">
        <v>1048.92069079</v>
      </c>
      <c r="Q526" s="47">
        <f t="shared" si="44"/>
        <v>9.7881358893425752E-3</v>
      </c>
    </row>
    <row r="527" spans="1:17" ht="14.4" x14ac:dyDescent="0.3">
      <c r="A527" s="63">
        <v>44970</v>
      </c>
      <c r="B527" s="64">
        <v>14900.5</v>
      </c>
      <c r="C527" s="47">
        <f t="shared" si="40"/>
        <v>-7.6818569964861583E-3</v>
      </c>
      <c r="D527" s="65">
        <v>459.63436364</v>
      </c>
      <c r="E527" s="47">
        <f t="shared" si="41"/>
        <v>-9.3330119443826298E-3</v>
      </c>
      <c r="H527" s="65">
        <v>478.78973658000001</v>
      </c>
      <c r="I527" s="47">
        <f t="shared" si="42"/>
        <v>2.7288861429255462E-3</v>
      </c>
      <c r="L527" s="65">
        <v>95.722393859999997</v>
      </c>
      <c r="M527" s="47">
        <f t="shared" si="43"/>
        <v>-3.2544401819975866E-2</v>
      </c>
      <c r="P527" s="65">
        <v>1033.07530249</v>
      </c>
      <c r="Q527" s="47">
        <f t="shared" si="44"/>
        <v>-1.5106374046321758E-2</v>
      </c>
    </row>
    <row r="528" spans="1:17" ht="14.4" x14ac:dyDescent="0.3">
      <c r="A528" s="63">
        <v>44971</v>
      </c>
      <c r="B528" s="64">
        <v>14968.90039063</v>
      </c>
      <c r="C528" s="47">
        <f t="shared" si="40"/>
        <v>4.5904762007986655E-3</v>
      </c>
      <c r="D528" s="65">
        <v>462.55360374000003</v>
      </c>
      <c r="E528" s="47">
        <f t="shared" si="41"/>
        <v>6.351222473623519E-3</v>
      </c>
      <c r="H528" s="65">
        <v>472.99850893000001</v>
      </c>
      <c r="I528" s="47">
        <f t="shared" si="42"/>
        <v>-1.2095555120639756E-2</v>
      </c>
      <c r="L528" s="65">
        <v>94.551481499999994</v>
      </c>
      <c r="M528" s="47">
        <f t="shared" si="43"/>
        <v>-1.2232376487706031E-2</v>
      </c>
      <c r="P528" s="65">
        <v>1026.8691917599999</v>
      </c>
      <c r="Q528" s="47">
        <f t="shared" si="44"/>
        <v>-6.0074137045398324E-3</v>
      </c>
    </row>
    <row r="529" spans="1:17" ht="14.4" x14ac:dyDescent="0.3">
      <c r="A529" s="63">
        <v>44972</v>
      </c>
      <c r="B529" s="64">
        <v>15039.65039063</v>
      </c>
      <c r="C529" s="47">
        <f t="shared" si="40"/>
        <v>4.7264660832593286E-3</v>
      </c>
      <c r="D529" s="65">
        <v>466.00801840000003</v>
      </c>
      <c r="E529" s="47">
        <f t="shared" si="41"/>
        <v>7.4681391131086183E-3</v>
      </c>
      <c r="H529" s="65">
        <v>480.86494578999998</v>
      </c>
      <c r="I529" s="47">
        <f t="shared" si="42"/>
        <v>1.6630997162750294E-2</v>
      </c>
      <c r="L529" s="65">
        <v>96.356641760000002</v>
      </c>
      <c r="M529" s="47">
        <f t="shared" si="43"/>
        <v>1.9091824171998839E-2</v>
      </c>
      <c r="P529" s="65">
        <v>1002.74898916</v>
      </c>
      <c r="Q529" s="47">
        <f t="shared" si="44"/>
        <v>-2.3489070266738854E-2</v>
      </c>
    </row>
    <row r="530" spans="1:17" ht="14.4" x14ac:dyDescent="0.3">
      <c r="A530" s="63">
        <v>44973</v>
      </c>
      <c r="B530" s="64">
        <v>15083.75</v>
      </c>
      <c r="C530" s="47">
        <f t="shared" si="40"/>
        <v>2.9322230387398562E-3</v>
      </c>
      <c r="D530" s="65">
        <v>462.40764173999997</v>
      </c>
      <c r="E530" s="47">
        <f t="shared" si="41"/>
        <v>-7.7259972314674963E-3</v>
      </c>
      <c r="H530" s="65">
        <v>494.76386321000001</v>
      </c>
      <c r="I530" s="47">
        <f t="shared" si="42"/>
        <v>2.8903993817153584E-2</v>
      </c>
      <c r="L530" s="65">
        <v>97.673922779999998</v>
      </c>
      <c r="M530" s="47">
        <f t="shared" si="43"/>
        <v>1.3670889685850618E-2</v>
      </c>
      <c r="P530" s="65">
        <v>996.10272979000001</v>
      </c>
      <c r="Q530" s="47">
        <f t="shared" si="44"/>
        <v>-6.6280389627393355E-3</v>
      </c>
    </row>
    <row r="531" spans="1:17" ht="14.4" x14ac:dyDescent="0.3">
      <c r="A531" s="63">
        <v>44974</v>
      </c>
      <c r="B531" s="64">
        <v>15003.950195310001</v>
      </c>
      <c r="C531" s="47">
        <f t="shared" si="40"/>
        <v>-5.2904486410871865E-3</v>
      </c>
      <c r="D531" s="65">
        <v>462.50493028</v>
      </c>
      <c r="E531" s="47">
        <f t="shared" si="41"/>
        <v>2.1039561464419876E-4</v>
      </c>
      <c r="H531" s="65">
        <v>496.11516896000001</v>
      </c>
      <c r="I531" s="47">
        <f t="shared" si="42"/>
        <v>2.731213515135833E-3</v>
      </c>
      <c r="L531" s="65">
        <v>95.917551750000001</v>
      </c>
      <c r="M531" s="47">
        <f t="shared" si="43"/>
        <v>-1.7981985160522629E-2</v>
      </c>
      <c r="P531" s="65">
        <v>988.35609570999998</v>
      </c>
      <c r="Q531" s="47">
        <f t="shared" si="44"/>
        <v>-7.7769429279982427E-3</v>
      </c>
    </row>
    <row r="532" spans="1:17" ht="14.4" x14ac:dyDescent="0.3">
      <c r="A532" s="63">
        <v>44977</v>
      </c>
      <c r="B532" s="64">
        <v>14938.65039063</v>
      </c>
      <c r="C532" s="47">
        <f t="shared" si="40"/>
        <v>-4.3521741827969862E-3</v>
      </c>
      <c r="D532" s="65">
        <v>475.30095218000002</v>
      </c>
      <c r="E532" s="47">
        <f t="shared" si="41"/>
        <v>2.7666779448714873E-2</v>
      </c>
      <c r="H532" s="65">
        <v>494.76386321000001</v>
      </c>
      <c r="I532" s="47">
        <f t="shared" si="42"/>
        <v>-2.723774305939286E-3</v>
      </c>
      <c r="L532" s="65">
        <v>93.331776919999996</v>
      </c>
      <c r="M532" s="47">
        <f t="shared" si="43"/>
        <v>-2.6958307242240576E-2</v>
      </c>
      <c r="P532" s="65">
        <v>992.31744278999997</v>
      </c>
      <c r="Q532" s="47">
        <f t="shared" si="44"/>
        <v>4.0080160351054772E-3</v>
      </c>
    </row>
    <row r="533" spans="1:17" ht="14.4" x14ac:dyDescent="0.3">
      <c r="A533" s="63">
        <v>44978</v>
      </c>
      <c r="B533" s="64">
        <v>14913.950195310001</v>
      </c>
      <c r="C533" s="47">
        <f t="shared" si="40"/>
        <v>-1.653442223635726E-3</v>
      </c>
      <c r="D533" s="65">
        <v>464.06185833000001</v>
      </c>
      <c r="E533" s="47">
        <f t="shared" si="41"/>
        <v>-2.3646268324208353E-2</v>
      </c>
      <c r="H533" s="65">
        <v>488.10398035999998</v>
      </c>
      <c r="I533" s="47">
        <f t="shared" si="42"/>
        <v>-1.3460730148703859E-2</v>
      </c>
      <c r="L533" s="65">
        <v>91.624191109999998</v>
      </c>
      <c r="M533" s="47">
        <f t="shared" si="43"/>
        <v>-1.8295867349270245E-2</v>
      </c>
      <c r="P533" s="65">
        <v>998.12741808999999</v>
      </c>
      <c r="Q533" s="47">
        <f t="shared" si="44"/>
        <v>5.8549563370211555E-3</v>
      </c>
    </row>
    <row r="534" spans="1:17" ht="14.4" x14ac:dyDescent="0.3">
      <c r="A534" s="63">
        <v>44979</v>
      </c>
      <c r="B534" s="64">
        <v>14701.90039063</v>
      </c>
      <c r="C534" s="47">
        <f t="shared" si="40"/>
        <v>-1.4218218641140701E-2</v>
      </c>
      <c r="D534" s="65">
        <v>467.32168617999997</v>
      </c>
      <c r="E534" s="47">
        <f t="shared" si="41"/>
        <v>7.0245545749676452E-3</v>
      </c>
      <c r="H534" s="65">
        <v>494.08822963</v>
      </c>
      <c r="I534" s="47">
        <f t="shared" si="42"/>
        <v>1.2260193546437259E-2</v>
      </c>
      <c r="L534" s="65">
        <v>88.404167380000004</v>
      </c>
      <c r="M534" s="47">
        <f t="shared" si="43"/>
        <v>-3.5143816179879606E-2</v>
      </c>
      <c r="P534" s="65">
        <v>990.68888889000004</v>
      </c>
      <c r="Q534" s="47">
        <f t="shared" si="44"/>
        <v>-7.4524845878236601E-3</v>
      </c>
    </row>
    <row r="535" spans="1:17" ht="14.4" x14ac:dyDescent="0.3">
      <c r="A535" s="63">
        <v>44980</v>
      </c>
      <c r="B535" s="64">
        <v>14666.75</v>
      </c>
      <c r="C535" s="47">
        <f t="shared" si="40"/>
        <v>-2.3908739479967522E-3</v>
      </c>
      <c r="D535" s="65">
        <v>459.82896018999998</v>
      </c>
      <c r="E535" s="47">
        <f t="shared" si="41"/>
        <v>-1.6033336803278564E-2</v>
      </c>
      <c r="H535" s="65">
        <v>498.67298047999998</v>
      </c>
      <c r="I535" s="47">
        <f t="shared" si="42"/>
        <v>9.2792148751110748E-3</v>
      </c>
      <c r="L535" s="65">
        <v>89.379930849999994</v>
      </c>
      <c r="M535" s="47">
        <f t="shared" si="43"/>
        <v>1.1037527968627669E-2</v>
      </c>
      <c r="P535" s="65">
        <v>983.42641874000003</v>
      </c>
      <c r="Q535" s="47">
        <f t="shared" si="44"/>
        <v>-7.3307273670315531E-3</v>
      </c>
    </row>
    <row r="536" spans="1:17" ht="14.4" x14ac:dyDescent="0.3">
      <c r="A536" s="63">
        <v>44981</v>
      </c>
      <c r="B536" s="64">
        <v>14630.450195310001</v>
      </c>
      <c r="C536" s="47">
        <f t="shared" si="40"/>
        <v>-2.4749726210645528E-3</v>
      </c>
      <c r="D536" s="65">
        <v>460.70475168000002</v>
      </c>
      <c r="E536" s="47">
        <f t="shared" si="41"/>
        <v>1.9046027236695462E-3</v>
      </c>
      <c r="H536" s="65">
        <v>503.78855525</v>
      </c>
      <c r="I536" s="47">
        <f t="shared" si="42"/>
        <v>1.025837566951382E-2</v>
      </c>
      <c r="L536" s="65">
        <v>103.13819778</v>
      </c>
      <c r="M536" s="47">
        <f t="shared" si="43"/>
        <v>0.15393015858436421</v>
      </c>
      <c r="P536" s="65">
        <v>986.11133206</v>
      </c>
      <c r="Q536" s="47">
        <f t="shared" si="44"/>
        <v>2.7301618797672678E-3</v>
      </c>
    </row>
    <row r="537" spans="1:17" ht="14.4" x14ac:dyDescent="0.3">
      <c r="A537" s="63">
        <v>44984</v>
      </c>
      <c r="B537" s="64">
        <v>14548.700195310001</v>
      </c>
      <c r="C537" s="47">
        <f t="shared" si="40"/>
        <v>-5.5876612755365596E-3</v>
      </c>
      <c r="D537" s="65">
        <v>447.37354549000003</v>
      </c>
      <c r="E537" s="47">
        <f t="shared" si="41"/>
        <v>-2.8936550233933045E-2</v>
      </c>
      <c r="H537" s="65">
        <v>510.44843809999998</v>
      </c>
      <c r="I537" s="47">
        <f t="shared" si="42"/>
        <v>1.321959933507233E-2</v>
      </c>
      <c r="L537" s="65">
        <v>97.527555120000002</v>
      </c>
      <c r="M537" s="47">
        <f t="shared" si="43"/>
        <v>-5.4399269919063742E-2</v>
      </c>
      <c r="P537" s="65">
        <v>972.55472166000004</v>
      </c>
      <c r="Q537" s="47">
        <f t="shared" si="44"/>
        <v>-1.3747545494361191E-2</v>
      </c>
    </row>
    <row r="538" spans="1:17" ht="14.4" x14ac:dyDescent="0.3">
      <c r="A538" s="63">
        <v>44985</v>
      </c>
      <c r="B538" s="64">
        <v>14518.75</v>
      </c>
      <c r="C538" s="47">
        <f t="shared" si="40"/>
        <v>-2.0586165710979598E-3</v>
      </c>
      <c r="D538" s="65">
        <v>437.15620512999999</v>
      </c>
      <c r="E538" s="47">
        <f t="shared" si="41"/>
        <v>-2.2838499198268747E-2</v>
      </c>
      <c r="H538" s="65">
        <v>511.5584427</v>
      </c>
      <c r="I538" s="47">
        <f t="shared" si="42"/>
        <v>2.1745675315056889E-3</v>
      </c>
      <c r="L538" s="65">
        <v>95.380878289999998</v>
      </c>
      <c r="M538" s="47">
        <f t="shared" si="43"/>
        <v>-2.2010977588422964E-2</v>
      </c>
      <c r="P538" s="65">
        <v>960.36257555999998</v>
      </c>
      <c r="Q538" s="47">
        <f t="shared" si="44"/>
        <v>-1.2536205756309537E-2</v>
      </c>
    </row>
    <row r="539" spans="1:17" ht="14.4" x14ac:dyDescent="0.3">
      <c r="A539" s="63">
        <v>44986</v>
      </c>
      <c r="B539" s="64">
        <v>14664.84960938</v>
      </c>
      <c r="C539" s="47">
        <f t="shared" si="40"/>
        <v>1.006282285871718E-2</v>
      </c>
      <c r="D539" s="65">
        <v>450.48741132999999</v>
      </c>
      <c r="E539" s="47">
        <f t="shared" si="41"/>
        <v>3.0495292171446087E-2</v>
      </c>
      <c r="H539" s="65">
        <v>527.53256933</v>
      </c>
      <c r="I539" s="47">
        <f t="shared" si="42"/>
        <v>3.1226396236740284E-2</v>
      </c>
      <c r="L539" s="65">
        <v>96.600582869999997</v>
      </c>
      <c r="M539" s="47">
        <f t="shared" si="43"/>
        <v>1.278772644860271E-2</v>
      </c>
      <c r="P539" s="65">
        <v>971.49836224000001</v>
      </c>
      <c r="Q539" s="47">
        <f t="shared" si="44"/>
        <v>1.1595398408259072E-2</v>
      </c>
    </row>
    <row r="540" spans="1:17" ht="14.4" x14ac:dyDescent="0.3">
      <c r="A540" s="63">
        <v>44987</v>
      </c>
      <c r="B540" s="64">
        <v>14587.25</v>
      </c>
      <c r="C540" s="47">
        <f t="shared" si="40"/>
        <v>-5.2915380277999136E-3</v>
      </c>
      <c r="D540" s="65">
        <v>439.19968292999999</v>
      </c>
      <c r="E540" s="47">
        <f t="shared" si="41"/>
        <v>-2.5056701066683673E-2</v>
      </c>
      <c r="H540" s="65">
        <v>540.65938097000003</v>
      </c>
      <c r="I540" s="47">
        <f t="shared" si="42"/>
        <v>2.4883414604470522E-2</v>
      </c>
      <c r="L540" s="65">
        <v>96.649374089999995</v>
      </c>
      <c r="M540" s="47">
        <f t="shared" si="43"/>
        <v>5.0508204557786485E-4</v>
      </c>
      <c r="P540" s="65">
        <v>974.09524604000001</v>
      </c>
      <c r="Q540" s="47">
        <f t="shared" si="44"/>
        <v>2.6730706925870429E-3</v>
      </c>
    </row>
    <row r="541" spans="1:17" ht="14.4" x14ac:dyDescent="0.3">
      <c r="A541" s="63">
        <v>44988</v>
      </c>
      <c r="B541" s="64">
        <v>14774.75</v>
      </c>
      <c r="C541" s="47">
        <f t="shared" si="40"/>
        <v>1.2853690723062972E-2</v>
      </c>
      <c r="D541" s="65">
        <v>450.58469987000001</v>
      </c>
      <c r="E541" s="47">
        <f t="shared" si="41"/>
        <v>2.5922188431576343E-2</v>
      </c>
      <c r="H541" s="65">
        <v>540.85238328000003</v>
      </c>
      <c r="I541" s="47">
        <f t="shared" si="42"/>
        <v>3.5697579066096274E-4</v>
      </c>
      <c r="L541" s="65">
        <v>103.38213888999999</v>
      </c>
      <c r="M541" s="47">
        <f t="shared" si="43"/>
        <v>6.9661752736551064E-2</v>
      </c>
      <c r="P541" s="65">
        <v>970.79412295999998</v>
      </c>
      <c r="Q541" s="47">
        <f t="shared" si="44"/>
        <v>-3.388912011859313E-3</v>
      </c>
    </row>
    <row r="542" spans="1:17" ht="14.4" x14ac:dyDescent="0.3">
      <c r="A542" s="63">
        <v>44991</v>
      </c>
      <c r="B542" s="64">
        <v>14881</v>
      </c>
      <c r="C542" s="47">
        <f t="shared" si="40"/>
        <v>7.1913230342306456E-3</v>
      </c>
      <c r="D542" s="65">
        <v>454.47701999999998</v>
      </c>
      <c r="E542" s="47">
        <f t="shared" si="41"/>
        <v>8.6383761612920384E-3</v>
      </c>
      <c r="H542" s="65">
        <v>549.63577418</v>
      </c>
      <c r="I542" s="47">
        <f t="shared" si="42"/>
        <v>1.6239904216993617E-2</v>
      </c>
      <c r="L542" s="65">
        <v>105.9191235</v>
      </c>
      <c r="M542" s="47">
        <f t="shared" si="43"/>
        <v>2.4539873494969777E-2</v>
      </c>
      <c r="P542" s="65">
        <v>964.01581776</v>
      </c>
      <c r="Q542" s="47">
        <f t="shared" si="44"/>
        <v>-6.9822272711463906E-3</v>
      </c>
    </row>
    <row r="543" spans="1:17" ht="14.4" x14ac:dyDescent="0.3">
      <c r="A543" s="63">
        <v>44993</v>
      </c>
      <c r="B543" s="64">
        <v>14921.950195310001</v>
      </c>
      <c r="C543" s="47">
        <f t="shared" si="40"/>
        <v>2.7518443189302744E-3</v>
      </c>
      <c r="D543" s="65">
        <v>450.34142986000001</v>
      </c>
      <c r="E543" s="47">
        <f t="shared" si="41"/>
        <v>-9.0996683176631787E-3</v>
      </c>
      <c r="H543" s="65">
        <v>546.69190977000005</v>
      </c>
      <c r="I543" s="47">
        <f t="shared" si="42"/>
        <v>-5.3560276610303825E-3</v>
      </c>
      <c r="L543" s="65">
        <v>106.50458218</v>
      </c>
      <c r="M543" s="47">
        <f t="shared" si="43"/>
        <v>5.5274124318069884E-3</v>
      </c>
      <c r="P543" s="65">
        <v>970.04586841000003</v>
      </c>
      <c r="Q543" s="47">
        <f t="shared" si="44"/>
        <v>6.2551366262968422E-3</v>
      </c>
    </row>
    <row r="544" spans="1:17" ht="14.4" x14ac:dyDescent="0.3">
      <c r="A544" s="63">
        <v>44994</v>
      </c>
      <c r="B544" s="64">
        <v>14803.950195310001</v>
      </c>
      <c r="C544" s="47">
        <f t="shared" si="40"/>
        <v>-7.9078135535586291E-3</v>
      </c>
      <c r="D544" s="65">
        <v>450.58469987000001</v>
      </c>
      <c r="E544" s="47">
        <f t="shared" si="41"/>
        <v>5.4019016210804516E-4</v>
      </c>
      <c r="H544" s="65">
        <v>554.75134894999997</v>
      </c>
      <c r="I544" s="47">
        <f t="shared" si="42"/>
        <v>1.4742195807124103E-2</v>
      </c>
      <c r="L544" s="65">
        <v>106.16306462</v>
      </c>
      <c r="M544" s="47">
        <f t="shared" si="43"/>
        <v>-3.2065996881036618E-3</v>
      </c>
      <c r="P544" s="65">
        <v>964.89611710999998</v>
      </c>
      <c r="Q544" s="47">
        <f t="shared" si="44"/>
        <v>-5.3087709228027968E-3</v>
      </c>
    </row>
    <row r="545" spans="1:17" ht="14.4" x14ac:dyDescent="0.3">
      <c r="A545" s="63">
        <v>44995</v>
      </c>
      <c r="B545" s="64">
        <v>14679.84960938</v>
      </c>
      <c r="C545" s="47">
        <f t="shared" si="40"/>
        <v>-8.3829372763842835E-3</v>
      </c>
      <c r="D545" s="65">
        <v>449.22238781999999</v>
      </c>
      <c r="E545" s="47">
        <f t="shared" si="41"/>
        <v>-3.023431666439369E-3</v>
      </c>
      <c r="H545" s="65">
        <v>560.54257659999996</v>
      </c>
      <c r="I545" s="47">
        <f t="shared" si="42"/>
        <v>1.0439321438264759E-2</v>
      </c>
      <c r="L545" s="65">
        <v>103.52850356</v>
      </c>
      <c r="M545" s="47">
        <f t="shared" si="43"/>
        <v>-2.4816173774091177E-2</v>
      </c>
      <c r="P545" s="65">
        <v>954.81668986</v>
      </c>
      <c r="Q545" s="47">
        <f t="shared" si="44"/>
        <v>-1.0446126864091076E-2</v>
      </c>
    </row>
    <row r="546" spans="1:17" ht="14.4" x14ac:dyDescent="0.3">
      <c r="A546" s="63">
        <v>44998</v>
      </c>
      <c r="B546" s="64">
        <v>14454.450195310001</v>
      </c>
      <c r="C546" s="47">
        <f t="shared" si="40"/>
        <v>-1.5354340818721779E-2</v>
      </c>
      <c r="D546" s="65">
        <v>446.74105320000001</v>
      </c>
      <c r="E546" s="47">
        <f t="shared" si="41"/>
        <v>-5.5236219014851429E-3</v>
      </c>
      <c r="H546" s="65">
        <v>559.23956969000005</v>
      </c>
      <c r="I546" s="47">
        <f t="shared" si="42"/>
        <v>-2.3245458318320589E-3</v>
      </c>
      <c r="L546" s="65">
        <v>99.235143930000007</v>
      </c>
      <c r="M546" s="47">
        <f t="shared" si="43"/>
        <v>-4.1470314767099614E-2</v>
      </c>
      <c r="P546" s="65">
        <v>938.17903277000005</v>
      </c>
      <c r="Q546" s="47">
        <f t="shared" si="44"/>
        <v>-1.7424975146213106E-2</v>
      </c>
    </row>
    <row r="547" spans="1:17" ht="14.4" x14ac:dyDescent="0.3">
      <c r="A547" s="63">
        <v>44999</v>
      </c>
      <c r="B547" s="64">
        <v>14358.549804689999</v>
      </c>
      <c r="C547" s="47">
        <f t="shared" si="40"/>
        <v>-6.634661943151432E-3</v>
      </c>
      <c r="D547" s="65">
        <v>439.00504747000002</v>
      </c>
      <c r="E547" s="47">
        <f t="shared" si="41"/>
        <v>-1.7316531969889692E-2</v>
      </c>
      <c r="H547" s="65">
        <v>550.93878109000002</v>
      </c>
      <c r="I547" s="47">
        <f t="shared" si="42"/>
        <v>-1.4842992252142251E-2</v>
      </c>
      <c r="L547" s="65">
        <v>97.186038550000006</v>
      </c>
      <c r="M547" s="47">
        <f t="shared" si="43"/>
        <v>-2.0648988844571337E-2</v>
      </c>
      <c r="P547" s="65">
        <v>930.25633861999995</v>
      </c>
      <c r="Q547" s="47">
        <f t="shared" si="44"/>
        <v>-8.4447572086621125E-3</v>
      </c>
    </row>
    <row r="548" spans="1:17" ht="14.4" x14ac:dyDescent="0.3">
      <c r="A548" s="63">
        <v>45000</v>
      </c>
      <c r="B548" s="64">
        <v>14320.299804689999</v>
      </c>
      <c r="C548" s="47">
        <f t="shared" si="40"/>
        <v>-2.6639180502411319E-3</v>
      </c>
      <c r="D548" s="65">
        <v>448.83316553999998</v>
      </c>
      <c r="E548" s="47">
        <f t="shared" si="41"/>
        <v>2.2387255287017016E-2</v>
      </c>
      <c r="H548" s="65">
        <v>557.59871220000002</v>
      </c>
      <c r="I548" s="47">
        <f t="shared" si="42"/>
        <v>1.2088332385721268E-2</v>
      </c>
      <c r="L548" s="65">
        <v>97.381196439999997</v>
      </c>
      <c r="M548" s="47">
        <f t="shared" si="43"/>
        <v>2.0080856562496585E-3</v>
      </c>
      <c r="P548" s="65">
        <v>945.04536748999999</v>
      </c>
      <c r="Q548" s="47">
        <f t="shared" si="44"/>
        <v>1.5897799623638242E-2</v>
      </c>
    </row>
    <row r="549" spans="1:17" ht="14.4" x14ac:dyDescent="0.3">
      <c r="A549" s="63">
        <v>45001</v>
      </c>
      <c r="B549" s="64">
        <v>14330.34960938</v>
      </c>
      <c r="C549" s="47">
        <f t="shared" si="40"/>
        <v>7.0178731081527168E-4</v>
      </c>
      <c r="D549" s="65">
        <v>456.17991006</v>
      </c>
      <c r="E549" s="47">
        <f t="shared" si="41"/>
        <v>1.6368541997472397E-2</v>
      </c>
      <c r="H549" s="65">
        <v>542.68629134000003</v>
      </c>
      <c r="I549" s="47">
        <f t="shared" si="42"/>
        <v>-2.6744001615719659E-2</v>
      </c>
      <c r="L549" s="65">
        <v>96.795732770000001</v>
      </c>
      <c r="M549" s="47">
        <f t="shared" si="43"/>
        <v>-6.0120812990905881E-3</v>
      </c>
      <c r="P549" s="65">
        <v>948.03838466000002</v>
      </c>
      <c r="Q549" s="47">
        <f t="shared" si="44"/>
        <v>3.1670618924353189E-3</v>
      </c>
    </row>
    <row r="550" spans="1:17" ht="14.4" x14ac:dyDescent="0.3">
      <c r="A550" s="63">
        <v>45002</v>
      </c>
      <c r="B550" s="64">
        <v>14420.84960938</v>
      </c>
      <c r="C550" s="47">
        <f t="shared" si="40"/>
        <v>6.3152681174478698E-3</v>
      </c>
      <c r="D550" s="65">
        <v>448.68721326000002</v>
      </c>
      <c r="E550" s="47">
        <f t="shared" si="41"/>
        <v>-1.6424872368917987E-2</v>
      </c>
      <c r="H550" s="65">
        <v>550.84227994000003</v>
      </c>
      <c r="I550" s="47">
        <f t="shared" si="42"/>
        <v>1.5028919525240436E-2</v>
      </c>
      <c r="L550" s="65">
        <v>95.917551750000001</v>
      </c>
      <c r="M550" s="47">
        <f t="shared" si="43"/>
        <v>-9.0725179186016414E-3</v>
      </c>
      <c r="P550" s="65">
        <v>947.86232561999998</v>
      </c>
      <c r="Q550" s="47">
        <f t="shared" si="44"/>
        <v>-1.8570876754442356E-4</v>
      </c>
    </row>
    <row r="551" spans="1:17" ht="14.4" x14ac:dyDescent="0.3">
      <c r="A551" s="63">
        <v>45005</v>
      </c>
      <c r="B551" s="64">
        <v>14317.09960938</v>
      </c>
      <c r="C551" s="47">
        <f t="shared" si="40"/>
        <v>-7.1944443503880739E-3</v>
      </c>
      <c r="D551" s="65">
        <v>453.16338142000001</v>
      </c>
      <c r="E551" s="47">
        <f t="shared" si="41"/>
        <v>9.9761437984331458E-3</v>
      </c>
      <c r="H551" s="65">
        <v>538.77722232999997</v>
      </c>
      <c r="I551" s="47">
        <f t="shared" si="42"/>
        <v>-2.1902925845333154E-2</v>
      </c>
      <c r="L551" s="65">
        <v>93.575718039999998</v>
      </c>
      <c r="M551" s="47">
        <f t="shared" si="43"/>
        <v>-2.4415069685095547E-2</v>
      </c>
      <c r="P551" s="65">
        <v>956.40122848999999</v>
      </c>
      <c r="Q551" s="47">
        <f t="shared" si="44"/>
        <v>9.0085897911542645E-3</v>
      </c>
    </row>
    <row r="552" spans="1:17" ht="14.4" x14ac:dyDescent="0.3">
      <c r="A552" s="63">
        <v>45006</v>
      </c>
      <c r="B552" s="64">
        <v>14411.299804689999</v>
      </c>
      <c r="C552" s="47">
        <f t="shared" si="40"/>
        <v>6.5795585614478735E-3</v>
      </c>
      <c r="D552" s="65">
        <v>447.13027548000002</v>
      </c>
      <c r="E552" s="47">
        <f t="shared" si="41"/>
        <v>-1.3313313006657945E-2</v>
      </c>
      <c r="H552" s="65">
        <v>544.66495113999997</v>
      </c>
      <c r="I552" s="47">
        <f t="shared" si="42"/>
        <v>1.0927946776476238E-2</v>
      </c>
      <c r="L552" s="65">
        <v>95.624819410000001</v>
      </c>
      <c r="M552" s="47">
        <f t="shared" si="43"/>
        <v>2.1897789436401638E-2</v>
      </c>
      <c r="P552" s="65">
        <v>963.75172815999997</v>
      </c>
      <c r="Q552" s="47">
        <f t="shared" si="44"/>
        <v>7.6855815854661724E-3</v>
      </c>
    </row>
    <row r="553" spans="1:17" ht="14.4" x14ac:dyDescent="0.3">
      <c r="A553" s="63">
        <v>45007</v>
      </c>
      <c r="B553" s="64">
        <v>14460</v>
      </c>
      <c r="C553" s="47">
        <f t="shared" si="40"/>
        <v>3.379306236773516E-3</v>
      </c>
      <c r="D553" s="65">
        <v>455.93664004999999</v>
      </c>
      <c r="E553" s="47">
        <f t="shared" si="41"/>
        <v>1.9695299229170349E-2</v>
      </c>
      <c r="H553" s="65">
        <v>538.87372347999997</v>
      </c>
      <c r="I553" s="47">
        <f t="shared" si="42"/>
        <v>-1.063264241232853E-2</v>
      </c>
      <c r="L553" s="65">
        <v>96.210275089999996</v>
      </c>
      <c r="M553" s="47">
        <f t="shared" si="43"/>
        <v>6.1224239022068527E-3</v>
      </c>
      <c r="P553" s="65">
        <v>972.24661678999996</v>
      </c>
      <c r="Q553" s="47">
        <f t="shared" si="44"/>
        <v>8.8143952241916956E-3</v>
      </c>
    </row>
    <row r="554" spans="1:17" ht="14.4" x14ac:dyDescent="0.3">
      <c r="A554" s="63">
        <v>45008</v>
      </c>
      <c r="B554" s="64">
        <v>14403.59960938</v>
      </c>
      <c r="C554" s="47">
        <f t="shared" si="40"/>
        <v>-3.9004419515905608E-3</v>
      </c>
      <c r="D554" s="65">
        <v>464.49976380999999</v>
      </c>
      <c r="E554" s="47">
        <f t="shared" si="41"/>
        <v>1.8781389798066872E-2</v>
      </c>
      <c r="H554" s="65">
        <v>540.08022923999999</v>
      </c>
      <c r="I554" s="47">
        <f t="shared" si="42"/>
        <v>2.2389396762725333E-3</v>
      </c>
      <c r="L554" s="65">
        <v>95.429669509999997</v>
      </c>
      <c r="M554" s="47">
        <f t="shared" si="43"/>
        <v>-8.1135365143668592E-3</v>
      </c>
      <c r="P554" s="65">
        <v>969.47367394000003</v>
      </c>
      <c r="Q554" s="47">
        <f t="shared" si="44"/>
        <v>-2.8520982249906623E-3</v>
      </c>
    </row>
    <row r="555" spans="1:17" ht="14.4" x14ac:dyDescent="0.3">
      <c r="A555" s="63">
        <v>45009</v>
      </c>
      <c r="B555" s="64">
        <v>14279</v>
      </c>
      <c r="C555" s="47">
        <f t="shared" si="40"/>
        <v>-8.6505882389883437E-3</v>
      </c>
      <c r="D555" s="65">
        <v>459.34242017000003</v>
      </c>
      <c r="E555" s="47">
        <f t="shared" si="41"/>
        <v>-1.110300594708058E-2</v>
      </c>
      <c r="H555" s="65">
        <v>528.93212566</v>
      </c>
      <c r="I555" s="47">
        <f t="shared" si="42"/>
        <v>-2.0641569486236522E-2</v>
      </c>
      <c r="L555" s="65">
        <v>92.697529020000005</v>
      </c>
      <c r="M555" s="47">
        <f t="shared" si="43"/>
        <v>-2.8629885276021949E-2</v>
      </c>
      <c r="P555" s="65">
        <v>973.03888660999996</v>
      </c>
      <c r="Q555" s="47">
        <f t="shared" si="44"/>
        <v>3.677472391293124E-3</v>
      </c>
    </row>
    <row r="556" spans="1:17" ht="14.4" x14ac:dyDescent="0.3">
      <c r="A556" s="63">
        <v>45012</v>
      </c>
      <c r="B556" s="64">
        <v>14262.700195310001</v>
      </c>
      <c r="C556" s="47">
        <f t="shared" si="40"/>
        <v>-1.1415228440366798E-3</v>
      </c>
      <c r="D556" s="65">
        <v>442.31351957999999</v>
      </c>
      <c r="E556" s="47">
        <f t="shared" si="41"/>
        <v>-3.7072344817832725E-2</v>
      </c>
      <c r="H556" s="65">
        <v>535.01290504999997</v>
      </c>
      <c r="I556" s="47">
        <f t="shared" si="42"/>
        <v>1.1496332128460462E-2</v>
      </c>
      <c r="L556" s="65">
        <v>89.721447409999996</v>
      </c>
      <c r="M556" s="47">
        <f t="shared" si="43"/>
        <v>-3.2105296025289998E-2</v>
      </c>
      <c r="P556" s="65">
        <v>972.07055774000003</v>
      </c>
      <c r="Q556" s="47">
        <f t="shared" si="44"/>
        <v>-9.9515947751438461E-4</v>
      </c>
    </row>
    <row r="557" spans="1:17" ht="14.4" x14ac:dyDescent="0.3">
      <c r="A557" s="63">
        <v>45013</v>
      </c>
      <c r="B557" s="64">
        <v>14211.799804689999</v>
      </c>
      <c r="C557" s="47">
        <f t="shared" si="40"/>
        <v>-3.5687765937013616E-3</v>
      </c>
      <c r="D557" s="65">
        <v>440.07544523000001</v>
      </c>
      <c r="E557" s="47">
        <f t="shared" si="41"/>
        <v>-5.0599275195682969E-3</v>
      </c>
      <c r="H557" s="65">
        <v>520.72788648999995</v>
      </c>
      <c r="I557" s="47">
        <f t="shared" si="42"/>
        <v>-2.6700325216762799E-2</v>
      </c>
      <c r="L557" s="65">
        <v>87.379620689999996</v>
      </c>
      <c r="M557" s="47">
        <f t="shared" si="43"/>
        <v>-2.61010804841183E-2</v>
      </c>
      <c r="P557" s="65">
        <v>969.25359961000004</v>
      </c>
      <c r="Q557" s="47">
        <f t="shared" si="44"/>
        <v>-2.8978947130641197E-3</v>
      </c>
    </row>
    <row r="558" spans="1:17" ht="14.4" x14ac:dyDescent="0.3">
      <c r="A558" s="63">
        <v>45014</v>
      </c>
      <c r="B558" s="64">
        <v>14345.59960938</v>
      </c>
      <c r="C558" s="47">
        <f t="shared" si="40"/>
        <v>9.4146981050102774E-3</v>
      </c>
      <c r="D558" s="65">
        <v>438.42119945000002</v>
      </c>
      <c r="E558" s="47">
        <f t="shared" si="41"/>
        <v>-3.7590049568329009E-3</v>
      </c>
      <c r="H558" s="65">
        <v>530.76603372</v>
      </c>
      <c r="I558" s="47">
        <f t="shared" si="42"/>
        <v>1.9277145492750281E-2</v>
      </c>
      <c r="L558" s="65">
        <v>89.916605300000001</v>
      </c>
      <c r="M558" s="47">
        <f t="shared" si="43"/>
        <v>2.9034053821320294E-2</v>
      </c>
      <c r="P558" s="65">
        <v>967.36095610999996</v>
      </c>
      <c r="Q558" s="47">
        <f t="shared" si="44"/>
        <v>-1.9526814249248847E-3</v>
      </c>
    </row>
    <row r="559" spans="1:17" ht="14.4" x14ac:dyDescent="0.3">
      <c r="A559" s="63">
        <v>45016</v>
      </c>
      <c r="B559" s="64">
        <v>14557.84960938</v>
      </c>
      <c r="C559" s="47">
        <f t="shared" si="40"/>
        <v>1.4795477761781362E-2</v>
      </c>
      <c r="D559" s="65">
        <v>444.06508309999998</v>
      </c>
      <c r="E559" s="47">
        <f t="shared" si="41"/>
        <v>1.2873199692624793E-2</v>
      </c>
      <c r="H559" s="65">
        <v>515.66056229000003</v>
      </c>
      <c r="I559" s="47">
        <f t="shared" si="42"/>
        <v>-2.845975527885547E-2</v>
      </c>
      <c r="L559" s="65">
        <v>93.868442380000005</v>
      </c>
      <c r="M559" s="47">
        <f t="shared" si="43"/>
        <v>4.3950025324187791E-2</v>
      </c>
      <c r="P559" s="65">
        <v>925.98688666999999</v>
      </c>
      <c r="Q559" s="47">
        <f t="shared" si="44"/>
        <v>-4.2770042742241166E-2</v>
      </c>
    </row>
    <row r="560" spans="1:17" ht="14.4" x14ac:dyDescent="0.3">
      <c r="A560" s="63">
        <v>45019</v>
      </c>
      <c r="B560" s="64">
        <v>14601.950195310001</v>
      </c>
      <c r="C560" s="47">
        <f t="shared" si="40"/>
        <v>3.0293338036397888E-3</v>
      </c>
      <c r="D560" s="65">
        <v>437.78869742000001</v>
      </c>
      <c r="E560" s="47">
        <f t="shared" si="41"/>
        <v>-1.4133931981737402E-2</v>
      </c>
      <c r="H560" s="65">
        <v>499.87948624000001</v>
      </c>
      <c r="I560" s="47">
        <f t="shared" si="42"/>
        <v>-3.0603612539065961E-2</v>
      </c>
      <c r="L560" s="65">
        <v>94.990571509999995</v>
      </c>
      <c r="M560" s="47">
        <f t="shared" si="43"/>
        <v>1.195427453091602E-2</v>
      </c>
      <c r="P560" s="65">
        <v>923.39000285999998</v>
      </c>
      <c r="Q560" s="47">
        <f t="shared" si="44"/>
        <v>-2.8044498765407155E-3</v>
      </c>
    </row>
    <row r="561" spans="1:17" ht="14.4" x14ac:dyDescent="0.3">
      <c r="A561" s="63">
        <v>45021</v>
      </c>
      <c r="B561" s="64">
        <v>14709.40039063</v>
      </c>
      <c r="C561" s="47">
        <f t="shared" si="40"/>
        <v>7.3586194914232461E-3</v>
      </c>
      <c r="D561" s="65">
        <v>442.75141532999999</v>
      </c>
      <c r="E561" s="47">
        <f t="shared" si="41"/>
        <v>1.1335874907795862E-2</v>
      </c>
      <c r="H561" s="65">
        <v>500.60338969999998</v>
      </c>
      <c r="I561" s="47">
        <f t="shared" si="42"/>
        <v>1.4481559654409004E-3</v>
      </c>
      <c r="L561" s="65">
        <v>98.40574513</v>
      </c>
      <c r="M561" s="47">
        <f t="shared" si="43"/>
        <v>3.5952764213451172E-2</v>
      </c>
      <c r="P561" s="65">
        <v>921.84947951000004</v>
      </c>
      <c r="Q561" s="47">
        <f t="shared" si="44"/>
        <v>-1.6683344472309125E-3</v>
      </c>
    </row>
    <row r="562" spans="1:17" ht="14.4" x14ac:dyDescent="0.3">
      <c r="A562" s="63">
        <v>45022</v>
      </c>
      <c r="B562" s="64">
        <v>14759.200195310001</v>
      </c>
      <c r="C562" s="47">
        <f t="shared" si="40"/>
        <v>3.3855767983392848E-3</v>
      </c>
      <c r="D562" s="65">
        <v>455.35281149000002</v>
      </c>
      <c r="E562" s="47">
        <f t="shared" si="41"/>
        <v>2.8461560423489018E-2</v>
      </c>
      <c r="H562" s="65">
        <v>501.85814604000001</v>
      </c>
      <c r="I562" s="47">
        <f t="shared" si="42"/>
        <v>2.5064879020335606E-3</v>
      </c>
      <c r="L562" s="65">
        <v>102.79668122</v>
      </c>
      <c r="M562" s="47">
        <f t="shared" si="43"/>
        <v>4.4620729045842911E-2</v>
      </c>
      <c r="P562" s="65">
        <v>923.03788373999998</v>
      </c>
      <c r="Q562" s="47">
        <f t="shared" si="44"/>
        <v>1.2891521407938367E-3</v>
      </c>
    </row>
    <row r="563" spans="1:17" ht="14.4" x14ac:dyDescent="0.3">
      <c r="A563" s="63">
        <v>45026</v>
      </c>
      <c r="B563" s="64">
        <v>14790.549804689999</v>
      </c>
      <c r="C563" s="47">
        <f t="shared" si="40"/>
        <v>2.124072372835073E-3</v>
      </c>
      <c r="D563" s="65">
        <v>462.45628600999999</v>
      </c>
      <c r="E563" s="47">
        <f t="shared" si="41"/>
        <v>1.5599935568106016E-2</v>
      </c>
      <c r="H563" s="65">
        <v>500.74814142999998</v>
      </c>
      <c r="I563" s="47">
        <f t="shared" si="42"/>
        <v>-2.211789563960842E-3</v>
      </c>
      <c r="L563" s="65">
        <v>99.966967269999998</v>
      </c>
      <c r="M563" s="47">
        <f t="shared" si="43"/>
        <v>-2.7527288978756004E-2</v>
      </c>
      <c r="P563" s="65">
        <v>926.42703633999997</v>
      </c>
      <c r="Q563" s="47">
        <f t="shared" si="44"/>
        <v>3.671737270704023E-3</v>
      </c>
    </row>
    <row r="564" spans="1:17" ht="14.4" x14ac:dyDescent="0.3">
      <c r="A564" s="63">
        <v>45027</v>
      </c>
      <c r="B564" s="64">
        <v>14867.25</v>
      </c>
      <c r="C564" s="47">
        <f t="shared" si="40"/>
        <v>5.1857568733300052E-3</v>
      </c>
      <c r="D564" s="65">
        <v>468.24612194000002</v>
      </c>
      <c r="E564" s="47">
        <f t="shared" si="41"/>
        <v>1.2519747498631384E-2</v>
      </c>
      <c r="H564" s="65">
        <v>516.81881747</v>
      </c>
      <c r="I564" s="47">
        <f t="shared" si="42"/>
        <v>3.2093331378338252E-2</v>
      </c>
      <c r="L564" s="65">
        <v>100.69878962</v>
      </c>
      <c r="M564" s="47">
        <f t="shared" si="43"/>
        <v>7.3206417078095498E-3</v>
      </c>
      <c r="P564" s="65">
        <v>918.54835644000002</v>
      </c>
      <c r="Q564" s="47">
        <f t="shared" si="44"/>
        <v>-8.5043717324204682E-3</v>
      </c>
    </row>
    <row r="565" spans="1:17" ht="14.4" x14ac:dyDescent="0.3">
      <c r="A565" s="63">
        <v>45028</v>
      </c>
      <c r="B565" s="64">
        <v>14941.549804689999</v>
      </c>
      <c r="C565" s="47">
        <f t="shared" si="40"/>
        <v>4.9975486179354434E-3</v>
      </c>
      <c r="D565" s="65">
        <v>467.51631191000001</v>
      </c>
      <c r="E565" s="47">
        <f t="shared" si="41"/>
        <v>-1.5586034689968331E-3</v>
      </c>
      <c r="H565" s="65">
        <v>515.12970941000003</v>
      </c>
      <c r="I565" s="47">
        <f t="shared" si="42"/>
        <v>-3.2682789459345107E-3</v>
      </c>
      <c r="L565" s="65">
        <v>101.18667085</v>
      </c>
      <c r="M565" s="47">
        <f t="shared" si="43"/>
        <v>4.844956248641008E-3</v>
      </c>
      <c r="P565" s="65">
        <v>918.50434218999999</v>
      </c>
      <c r="Q565" s="47">
        <f t="shared" si="44"/>
        <v>-4.7917183337631286E-5</v>
      </c>
    </row>
    <row r="566" spans="1:17" ht="14.4" x14ac:dyDescent="0.3">
      <c r="A566" s="63">
        <v>45029</v>
      </c>
      <c r="B566" s="64">
        <v>14954.25</v>
      </c>
      <c r="C566" s="47">
        <f t="shared" si="40"/>
        <v>8.4999183324430128E-4</v>
      </c>
      <c r="D566" s="65">
        <v>472.43035635000001</v>
      </c>
      <c r="E566" s="47">
        <f t="shared" si="41"/>
        <v>1.0510958259240422E-2</v>
      </c>
      <c r="H566" s="65">
        <v>515.08145882999997</v>
      </c>
      <c r="I566" s="47">
        <f t="shared" si="42"/>
        <v>-9.3666855393248483E-5</v>
      </c>
      <c r="L566" s="65">
        <v>99.332720370000004</v>
      </c>
      <c r="M566" s="47">
        <f t="shared" si="43"/>
        <v>-1.8322081993865647E-2</v>
      </c>
      <c r="P566" s="65">
        <v>919.82479121999995</v>
      </c>
      <c r="Q566" s="47">
        <f t="shared" si="44"/>
        <v>1.4376078254041413E-3</v>
      </c>
    </row>
    <row r="567" spans="1:17" ht="14.4" x14ac:dyDescent="0.3">
      <c r="A567" s="63">
        <v>45033</v>
      </c>
      <c r="B567" s="64">
        <v>14904.299804689999</v>
      </c>
      <c r="C567" s="47">
        <f t="shared" si="40"/>
        <v>-3.340200632596102E-3</v>
      </c>
      <c r="D567" s="65">
        <v>479.82577434000001</v>
      </c>
      <c r="E567" s="47">
        <f t="shared" si="41"/>
        <v>1.5653985588769181E-2</v>
      </c>
      <c r="H567" s="65">
        <v>503.93330699000001</v>
      </c>
      <c r="I567" s="47">
        <f t="shared" si="42"/>
        <v>-2.1643473374721833E-2</v>
      </c>
      <c r="L567" s="65">
        <v>100.25969560999999</v>
      </c>
      <c r="M567" s="47">
        <f t="shared" si="43"/>
        <v>9.3320230891407174E-3</v>
      </c>
      <c r="P567" s="65">
        <v>924.35833276000005</v>
      </c>
      <c r="Q567" s="47">
        <f t="shared" si="44"/>
        <v>4.9287011866543384E-3</v>
      </c>
    </row>
    <row r="568" spans="1:17" ht="14.4" x14ac:dyDescent="0.3">
      <c r="A568" s="63">
        <v>45034</v>
      </c>
      <c r="B568" s="64">
        <v>14897</v>
      </c>
      <c r="C568" s="47">
        <f t="shared" si="40"/>
        <v>-4.8977843881681249E-4</v>
      </c>
      <c r="D568" s="65">
        <v>477.53902653</v>
      </c>
      <c r="E568" s="47">
        <f t="shared" si="41"/>
        <v>-4.7657877760848288E-3</v>
      </c>
      <c r="H568" s="65">
        <v>490.27569073000001</v>
      </c>
      <c r="I568" s="47">
        <f t="shared" si="42"/>
        <v>-2.7102031301675877E-2</v>
      </c>
      <c r="L568" s="65">
        <v>99.918179050000006</v>
      </c>
      <c r="M568" s="47">
        <f t="shared" si="43"/>
        <v>-3.4063195376978772E-3</v>
      </c>
      <c r="P568" s="65">
        <v>918.46032691000005</v>
      </c>
      <c r="Q568" s="47">
        <f t="shared" si="44"/>
        <v>-6.3806487603020878E-3</v>
      </c>
    </row>
    <row r="569" spans="1:17" ht="14.4" x14ac:dyDescent="0.3">
      <c r="A569" s="63">
        <v>45035</v>
      </c>
      <c r="B569" s="64">
        <v>14856.90039063</v>
      </c>
      <c r="C569" s="47">
        <f t="shared" si="40"/>
        <v>-2.6917909223332925E-3</v>
      </c>
      <c r="D569" s="65">
        <v>468.8299505</v>
      </c>
      <c r="E569" s="47">
        <f t="shared" si="41"/>
        <v>-1.823741211955765E-2</v>
      </c>
      <c r="H569" s="65">
        <v>497.65947703000001</v>
      </c>
      <c r="I569" s="47">
        <f t="shared" si="42"/>
        <v>1.5060478093469998E-2</v>
      </c>
      <c r="L569" s="65">
        <v>98.844839140000005</v>
      </c>
      <c r="M569" s="47">
        <f t="shared" si="43"/>
        <v>-1.0742188460649338E-2</v>
      </c>
      <c r="P569" s="65">
        <v>947.64225025999997</v>
      </c>
      <c r="Q569" s="47">
        <f t="shared" si="44"/>
        <v>3.1772655274264761E-2</v>
      </c>
    </row>
    <row r="570" spans="1:17" ht="14.4" x14ac:dyDescent="0.3">
      <c r="A570" s="63">
        <v>45036</v>
      </c>
      <c r="B570" s="64">
        <v>14861.75</v>
      </c>
      <c r="C570" s="47">
        <f t="shared" si="40"/>
        <v>3.2642134243943133E-4</v>
      </c>
      <c r="D570" s="65">
        <v>462.65091174999998</v>
      </c>
      <c r="E570" s="47">
        <f t="shared" si="41"/>
        <v>-1.3179701389406051E-2</v>
      </c>
      <c r="H570" s="65">
        <v>505.09156216999997</v>
      </c>
      <c r="I570" s="47">
        <f t="shared" si="42"/>
        <v>1.4934077382297906E-2</v>
      </c>
      <c r="L570" s="65">
        <v>99.820602600000001</v>
      </c>
      <c r="M570" s="47">
        <f t="shared" si="43"/>
        <v>9.871668247827925E-3</v>
      </c>
      <c r="P570" s="65">
        <v>951.55958206000003</v>
      </c>
      <c r="Q570" s="47">
        <f t="shared" si="44"/>
        <v>4.1337665125475986E-3</v>
      </c>
    </row>
    <row r="571" spans="1:17" ht="14.4" x14ac:dyDescent="0.3">
      <c r="A571" s="63">
        <v>45037</v>
      </c>
      <c r="B571" s="64">
        <v>14847.09960938</v>
      </c>
      <c r="C571" s="47">
        <f t="shared" si="40"/>
        <v>-9.8577829797963368E-4</v>
      </c>
      <c r="D571" s="65">
        <v>452.38489793000002</v>
      </c>
      <c r="E571" s="47">
        <f t="shared" si="41"/>
        <v>-2.2189546284839823E-2</v>
      </c>
      <c r="H571" s="65">
        <v>510.68973925</v>
      </c>
      <c r="I571" s="47">
        <f t="shared" si="42"/>
        <v>1.108348960720873E-2</v>
      </c>
      <c r="L571" s="65">
        <v>99.332720370000004</v>
      </c>
      <c r="M571" s="47">
        <f t="shared" si="43"/>
        <v>-4.8875905102980788E-3</v>
      </c>
      <c r="P571" s="65">
        <v>952.92404636000003</v>
      </c>
      <c r="Q571" s="47">
        <f t="shared" si="44"/>
        <v>1.4339241869081309E-3</v>
      </c>
    </row>
    <row r="572" spans="1:17" ht="14.4" x14ac:dyDescent="0.3">
      <c r="A572" s="63">
        <v>45040</v>
      </c>
      <c r="B572" s="64">
        <v>14930.15039063</v>
      </c>
      <c r="C572" s="47">
        <f t="shared" si="40"/>
        <v>5.5937377289185797E-3</v>
      </c>
      <c r="D572" s="65">
        <v>447.13027548000002</v>
      </c>
      <c r="E572" s="47">
        <f t="shared" si="41"/>
        <v>-1.1615379898939682E-2</v>
      </c>
      <c r="H572" s="65">
        <v>517.06011863000003</v>
      </c>
      <c r="I572" s="47">
        <f t="shared" si="42"/>
        <v>1.2474069655982412E-2</v>
      </c>
      <c r="L572" s="65">
        <v>102.84546944</v>
      </c>
      <c r="M572" s="47">
        <f t="shared" si="43"/>
        <v>3.5363463891006974E-2</v>
      </c>
      <c r="P572" s="65">
        <v>953.40821130999996</v>
      </c>
      <c r="Q572" s="47">
        <f t="shared" si="44"/>
        <v>5.0808346357644751E-4</v>
      </c>
    </row>
    <row r="573" spans="1:17" ht="14.4" x14ac:dyDescent="0.3">
      <c r="A573" s="63">
        <v>45041</v>
      </c>
      <c r="B573" s="64">
        <v>14955.700195310001</v>
      </c>
      <c r="C573" s="47">
        <f t="shared" si="40"/>
        <v>1.7112891706727584E-3</v>
      </c>
      <c r="D573" s="65">
        <v>447.37354549000003</v>
      </c>
      <c r="E573" s="47">
        <f t="shared" si="41"/>
        <v>5.4406964444275729E-4</v>
      </c>
      <c r="H573" s="65">
        <v>521.16223821000006</v>
      </c>
      <c r="I573" s="47">
        <f t="shared" si="42"/>
        <v>7.9335447314501373E-3</v>
      </c>
      <c r="L573" s="65">
        <v>105.82154805</v>
      </c>
      <c r="M573" s="47">
        <f t="shared" si="43"/>
        <v>2.8937381745690161E-2</v>
      </c>
      <c r="P573" s="65">
        <v>951.42753726000001</v>
      </c>
      <c r="Q573" s="47">
        <f t="shared" si="44"/>
        <v>-2.0774669512007016E-3</v>
      </c>
    </row>
    <row r="574" spans="1:17" ht="14.4" x14ac:dyDescent="0.3">
      <c r="A574" s="63">
        <v>45042</v>
      </c>
      <c r="B574" s="64">
        <v>14994.40039063</v>
      </c>
      <c r="C574" s="47">
        <f t="shared" si="40"/>
        <v>2.5876551959858052E-3</v>
      </c>
      <c r="D574" s="65">
        <v>441.14584300000001</v>
      </c>
      <c r="E574" s="47">
        <f t="shared" si="41"/>
        <v>-1.3920587287249875E-2</v>
      </c>
      <c r="H574" s="65">
        <v>521.01743822000003</v>
      </c>
      <c r="I574" s="47">
        <f t="shared" si="42"/>
        <v>-2.778405252409355E-4</v>
      </c>
      <c r="L574" s="65">
        <v>110.60278891999999</v>
      </c>
      <c r="M574" s="47">
        <f t="shared" si="43"/>
        <v>4.5182110431241096E-2</v>
      </c>
      <c r="P574" s="65">
        <v>969.51768920999996</v>
      </c>
      <c r="Q574" s="47">
        <f t="shared" si="44"/>
        <v>1.9013693887920846E-2</v>
      </c>
    </row>
    <row r="575" spans="1:17" ht="14.4" x14ac:dyDescent="0.3">
      <c r="A575" s="63">
        <v>45043</v>
      </c>
      <c r="B575" s="64">
        <v>15075.049804689999</v>
      </c>
      <c r="C575" s="47">
        <f t="shared" si="40"/>
        <v>5.3786354878448961E-3</v>
      </c>
      <c r="D575" s="65">
        <v>445.33006768000001</v>
      </c>
      <c r="E575" s="47">
        <f t="shared" si="41"/>
        <v>9.4849010738609074E-3</v>
      </c>
      <c r="H575" s="65">
        <v>515.46751171999995</v>
      </c>
      <c r="I575" s="47">
        <f t="shared" si="42"/>
        <v>-1.0652093563241927E-2</v>
      </c>
      <c r="L575" s="65">
        <v>111.09067016</v>
      </c>
      <c r="M575" s="47">
        <f t="shared" si="43"/>
        <v>4.411111553008773E-3</v>
      </c>
      <c r="P575" s="65">
        <v>964.19187783999996</v>
      </c>
      <c r="Q575" s="47">
        <f t="shared" si="44"/>
        <v>-5.493258585451577E-3</v>
      </c>
    </row>
    <row r="576" spans="1:17" ht="14.4" x14ac:dyDescent="0.3">
      <c r="A576" s="63">
        <v>45044</v>
      </c>
      <c r="B576" s="64">
        <v>15219.549804689999</v>
      </c>
      <c r="C576" s="47">
        <f t="shared" si="40"/>
        <v>9.5853746337239976E-3</v>
      </c>
      <c r="D576" s="65">
        <v>446.59509119000001</v>
      </c>
      <c r="E576" s="47">
        <f t="shared" si="41"/>
        <v>2.8406424847760015E-3</v>
      </c>
      <c r="H576" s="65">
        <v>521.16223821000006</v>
      </c>
      <c r="I576" s="47">
        <f t="shared" si="42"/>
        <v>1.1047692357949224E-2</v>
      </c>
      <c r="L576" s="65">
        <v>115.28645335</v>
      </c>
      <c r="M576" s="47">
        <f t="shared" si="43"/>
        <v>3.7768997017993966E-2</v>
      </c>
      <c r="P576" s="65">
        <v>966.56868628999996</v>
      </c>
      <c r="Q576" s="47">
        <f t="shared" si="44"/>
        <v>2.4650782739681354E-3</v>
      </c>
    </row>
    <row r="577" spans="1:17" ht="14.4" x14ac:dyDescent="0.3">
      <c r="A577" s="63">
        <v>45048</v>
      </c>
      <c r="B577" s="64">
        <v>15300.75</v>
      </c>
      <c r="C577" s="47">
        <f t="shared" si="40"/>
        <v>5.3352560589523534E-3</v>
      </c>
      <c r="D577" s="65">
        <v>483.62077674</v>
      </c>
      <c r="E577" s="47">
        <f t="shared" si="41"/>
        <v>8.2906611112408601E-2</v>
      </c>
      <c r="H577" s="65">
        <v>512.18584499999997</v>
      </c>
      <c r="I577" s="47">
        <f t="shared" si="42"/>
        <v>-1.7223798180065142E-2</v>
      </c>
      <c r="L577" s="65">
        <v>113.04219707999999</v>
      </c>
      <c r="M577" s="47">
        <f t="shared" si="43"/>
        <v>-1.9466782130825311E-2</v>
      </c>
      <c r="P577" s="65">
        <v>1004.42155834</v>
      </c>
      <c r="Q577" s="47">
        <f t="shared" si="44"/>
        <v>3.9162112933009974E-2</v>
      </c>
    </row>
    <row r="578" spans="1:17" ht="14.4" x14ac:dyDescent="0.3">
      <c r="A578" s="63">
        <v>45049</v>
      </c>
      <c r="B578" s="64">
        <v>15276.40039063</v>
      </c>
      <c r="C578" s="47">
        <f t="shared" si="40"/>
        <v>-1.5913997268107716E-3</v>
      </c>
      <c r="D578" s="65">
        <v>487.36714460000002</v>
      </c>
      <c r="E578" s="47">
        <f t="shared" si="41"/>
        <v>7.7464989929787453E-3</v>
      </c>
      <c r="H578" s="65">
        <v>506.87721964999997</v>
      </c>
      <c r="I578" s="47">
        <f t="shared" si="42"/>
        <v>-1.0364646742629158E-2</v>
      </c>
      <c r="L578" s="65">
        <v>117.28676849999999</v>
      </c>
      <c r="M578" s="47">
        <f t="shared" si="43"/>
        <v>3.7548557349748934E-2</v>
      </c>
      <c r="P578" s="65">
        <v>1052.3538576399999</v>
      </c>
      <c r="Q578" s="47">
        <f t="shared" si="44"/>
        <v>4.7721296802128776E-2</v>
      </c>
    </row>
    <row r="579" spans="1:17" ht="14.4" x14ac:dyDescent="0.3">
      <c r="A579" s="63">
        <v>45050</v>
      </c>
      <c r="B579" s="64">
        <v>15405.5</v>
      </c>
      <c r="C579" s="47">
        <f t="shared" si="40"/>
        <v>8.4509181527596677E-3</v>
      </c>
      <c r="D579" s="65">
        <v>500.21178157999998</v>
      </c>
      <c r="E579" s="47">
        <f t="shared" si="41"/>
        <v>2.6355155702057154E-2</v>
      </c>
      <c r="H579" s="65">
        <v>511.12409098000001</v>
      </c>
      <c r="I579" s="47">
        <f t="shared" si="42"/>
        <v>8.3785010755317302E-3</v>
      </c>
      <c r="L579" s="65">
        <v>117.18919205</v>
      </c>
      <c r="M579" s="47">
        <f t="shared" si="43"/>
        <v>-8.3194763781035963E-4</v>
      </c>
      <c r="P579" s="65">
        <v>1037.8729336399999</v>
      </c>
      <c r="Q579" s="47">
        <f t="shared" si="44"/>
        <v>-1.3760508307039232E-2</v>
      </c>
    </row>
    <row r="580" spans="1:17" ht="14.4" x14ac:dyDescent="0.3">
      <c r="A580" s="63">
        <v>45051</v>
      </c>
      <c r="B580" s="64">
        <v>15278.59960938</v>
      </c>
      <c r="C580" s="47">
        <f t="shared" ref="C580:C643" si="45">B580/B579-1</f>
        <v>-8.2373431969101629E-3</v>
      </c>
      <c r="D580" s="65">
        <v>503.56891743</v>
      </c>
      <c r="E580" s="47">
        <f t="shared" ref="E580:E643" si="46">D580/D579-1</f>
        <v>6.7114289859306897E-3</v>
      </c>
      <c r="H580" s="65">
        <v>514.0197048</v>
      </c>
      <c r="I580" s="47">
        <f t="shared" ref="I580:I643" si="47">H580/H579-1</f>
        <v>5.6651875172779587E-3</v>
      </c>
      <c r="L580" s="65">
        <v>115.77433458</v>
      </c>
      <c r="M580" s="47">
        <f t="shared" ref="M580:M643" si="48">L580/L579-1</f>
        <v>-1.2073276086725926E-2</v>
      </c>
      <c r="P580" s="65">
        <v>1020.13490184</v>
      </c>
      <c r="Q580" s="47">
        <f t="shared" ref="Q580:Q643" si="49">P580/P579-1</f>
        <v>-1.709075477841937E-2</v>
      </c>
    </row>
    <row r="581" spans="1:17" ht="14.4" x14ac:dyDescent="0.3">
      <c r="A581" s="63">
        <v>45054</v>
      </c>
      <c r="B581" s="64">
        <v>15427.09960938</v>
      </c>
      <c r="C581" s="47">
        <f t="shared" si="45"/>
        <v>9.7194771639170785E-3</v>
      </c>
      <c r="D581" s="65">
        <v>495.10311141</v>
      </c>
      <c r="E581" s="47">
        <f t="shared" si="46"/>
        <v>-1.6811613518971424E-2</v>
      </c>
      <c r="H581" s="65">
        <v>518.55617612000003</v>
      </c>
      <c r="I581" s="47">
        <f t="shared" si="47"/>
        <v>8.8254813534145438E-3</v>
      </c>
      <c r="L581" s="65">
        <v>120.01890598999999</v>
      </c>
      <c r="M581" s="47">
        <f t="shared" si="48"/>
        <v>3.6662455676365724E-2</v>
      </c>
      <c r="P581" s="65">
        <v>1033.33939209</v>
      </c>
      <c r="Q581" s="47">
        <f t="shared" si="49"/>
        <v>1.2943866763291068E-2</v>
      </c>
    </row>
    <row r="582" spans="1:17" ht="14.4" x14ac:dyDescent="0.3">
      <c r="A582" s="63">
        <v>45055</v>
      </c>
      <c r="B582" s="64">
        <v>15420.59960938</v>
      </c>
      <c r="C582" s="47">
        <f t="shared" si="45"/>
        <v>-4.2133648998077255E-4</v>
      </c>
      <c r="D582" s="65">
        <v>499.48197155999998</v>
      </c>
      <c r="E582" s="47">
        <f t="shared" si="46"/>
        <v>8.8443397932391754E-3</v>
      </c>
      <c r="H582" s="65">
        <v>508.56632772</v>
      </c>
      <c r="I582" s="47">
        <f t="shared" si="47"/>
        <v>-1.926473709125831E-2</v>
      </c>
      <c r="L582" s="65">
        <v>120.36042356</v>
      </c>
      <c r="M582" s="47">
        <f t="shared" si="48"/>
        <v>2.8455314367592521E-3</v>
      </c>
      <c r="P582" s="65">
        <v>1032.6351528099999</v>
      </c>
      <c r="Q582" s="47">
        <f t="shared" si="49"/>
        <v>-6.8151788791848134E-4</v>
      </c>
    </row>
    <row r="583" spans="1:17" ht="14.4" x14ac:dyDescent="0.3">
      <c r="A583" s="63">
        <v>45056</v>
      </c>
      <c r="B583" s="64">
        <v>15466.049804689999</v>
      </c>
      <c r="C583" s="47">
        <f t="shared" si="45"/>
        <v>2.9473688741876725E-3</v>
      </c>
      <c r="D583" s="65">
        <v>537.43209287000002</v>
      </c>
      <c r="E583" s="47">
        <f t="shared" si="46"/>
        <v>7.5978961145430013E-2</v>
      </c>
      <c r="H583" s="65">
        <v>516.09491402000003</v>
      </c>
      <c r="I583" s="47">
        <f t="shared" si="47"/>
        <v>1.4803548504188413E-2</v>
      </c>
      <c r="L583" s="65">
        <v>121.43376347</v>
      </c>
      <c r="M583" s="47">
        <f t="shared" si="48"/>
        <v>8.9177146295513765E-3</v>
      </c>
      <c r="P583" s="65">
        <v>1048.52455536</v>
      </c>
      <c r="Q583" s="47">
        <f t="shared" si="49"/>
        <v>1.538723769645256E-2</v>
      </c>
    </row>
    <row r="584" spans="1:17" ht="14.4" x14ac:dyDescent="0.3">
      <c r="A584" s="63">
        <v>45057</v>
      </c>
      <c r="B584" s="64">
        <v>15484.049804689999</v>
      </c>
      <c r="C584" s="47">
        <f t="shared" si="45"/>
        <v>1.1638395212294483E-3</v>
      </c>
      <c r="D584" s="65">
        <v>531.78823840999996</v>
      </c>
      <c r="E584" s="47">
        <f t="shared" si="46"/>
        <v>-1.0501521094247845E-2</v>
      </c>
      <c r="H584" s="65">
        <v>512.04104500999995</v>
      </c>
      <c r="I584" s="47">
        <f t="shared" si="47"/>
        <v>-7.8548904472307557E-3</v>
      </c>
      <c r="L584" s="65">
        <v>123.04377282999999</v>
      </c>
      <c r="M584" s="47">
        <f t="shared" si="48"/>
        <v>1.3258333712087733E-2</v>
      </c>
      <c r="P584" s="65">
        <v>1047.60024176</v>
      </c>
      <c r="Q584" s="47">
        <f t="shared" si="49"/>
        <v>-8.81537390111653E-4</v>
      </c>
    </row>
    <row r="585" spans="1:17" ht="14.4" x14ac:dyDescent="0.3">
      <c r="A585" s="63">
        <v>45058</v>
      </c>
      <c r="B585" s="64">
        <v>15477.34960938</v>
      </c>
      <c r="C585" s="47">
        <f t="shared" si="45"/>
        <v>-4.327159492840682E-4</v>
      </c>
      <c r="D585" s="65">
        <v>520.20856655</v>
      </c>
      <c r="E585" s="47">
        <f t="shared" si="46"/>
        <v>-2.1774967973383852E-2</v>
      </c>
      <c r="H585" s="65">
        <v>513.15104960999997</v>
      </c>
      <c r="I585" s="47">
        <f t="shared" si="47"/>
        <v>2.1678039501273894E-3</v>
      </c>
      <c r="L585" s="65">
        <v>123.04377282999999</v>
      </c>
      <c r="M585" s="47">
        <f t="shared" si="48"/>
        <v>0</v>
      </c>
      <c r="P585" s="65">
        <v>1032.1069725899999</v>
      </c>
      <c r="Q585" s="47">
        <f t="shared" si="49"/>
        <v>-1.4789295145609116E-2</v>
      </c>
    </row>
    <row r="586" spans="1:17" ht="14.4" x14ac:dyDescent="0.3">
      <c r="A586" s="63">
        <v>45061</v>
      </c>
      <c r="B586" s="64">
        <v>15549.700195310001</v>
      </c>
      <c r="C586" s="47">
        <f t="shared" si="45"/>
        <v>4.6746108187769586E-3</v>
      </c>
      <c r="D586" s="65">
        <v>518.40838795000002</v>
      </c>
      <c r="E586" s="47">
        <f t="shared" si="46"/>
        <v>-3.4604939552200786E-3</v>
      </c>
      <c r="H586" s="65">
        <v>510.93104039999997</v>
      </c>
      <c r="I586" s="47">
        <f t="shared" si="47"/>
        <v>-4.3262295023799302E-3</v>
      </c>
      <c r="L586" s="65">
        <v>120.6531519</v>
      </c>
      <c r="M586" s="47">
        <f t="shared" si="48"/>
        <v>-1.9429028182538999E-2</v>
      </c>
      <c r="P586" s="65">
        <v>1030.1703148399999</v>
      </c>
      <c r="Q586" s="47">
        <f t="shared" si="49"/>
        <v>-1.8764118462838431E-3</v>
      </c>
    </row>
    <row r="587" spans="1:17" ht="14.4" x14ac:dyDescent="0.3">
      <c r="A587" s="63">
        <v>45062</v>
      </c>
      <c r="B587" s="64">
        <v>15492.40039063</v>
      </c>
      <c r="C587" s="47">
        <f t="shared" si="45"/>
        <v>-3.684945944956719E-3</v>
      </c>
      <c r="D587" s="65">
        <v>508.96950189</v>
      </c>
      <c r="E587" s="47">
        <f t="shared" si="46"/>
        <v>-1.8207433134570294E-2</v>
      </c>
      <c r="H587" s="65">
        <v>502.72680122999998</v>
      </c>
      <c r="I587" s="47">
        <f t="shared" si="47"/>
        <v>-1.6057429518427813E-2</v>
      </c>
      <c r="L587" s="65">
        <v>129.33744662000001</v>
      </c>
      <c r="M587" s="47">
        <f t="shared" si="48"/>
        <v>7.1977354783054004E-2</v>
      </c>
      <c r="P587" s="65">
        <v>1026.9132070400001</v>
      </c>
      <c r="Q587" s="47">
        <f t="shared" si="49"/>
        <v>-3.1617177791671836E-3</v>
      </c>
    </row>
    <row r="588" spans="1:17" ht="14.4" x14ac:dyDescent="0.3">
      <c r="A588" s="63">
        <v>45063</v>
      </c>
      <c r="B588" s="64">
        <v>15426.34960938</v>
      </c>
      <c r="C588" s="47">
        <f t="shared" si="45"/>
        <v>-4.2634310748868032E-3</v>
      </c>
      <c r="D588" s="65">
        <v>480.84748890999998</v>
      </c>
      <c r="E588" s="47">
        <f t="shared" si="46"/>
        <v>-5.5252844965311576E-2</v>
      </c>
      <c r="H588" s="65">
        <v>498.86598278999998</v>
      </c>
      <c r="I588" s="47">
        <f t="shared" si="47"/>
        <v>-7.679754551684792E-3</v>
      </c>
      <c r="L588" s="65">
        <v>123.58044228999999</v>
      </c>
      <c r="M588" s="47">
        <f t="shared" si="48"/>
        <v>-4.451150444398666E-2</v>
      </c>
      <c r="P588" s="65">
        <v>1034.08764664</v>
      </c>
      <c r="Q588" s="47">
        <f t="shared" si="49"/>
        <v>6.9864128251693192E-3</v>
      </c>
    </row>
    <row r="589" spans="1:17" ht="14.4" x14ac:dyDescent="0.3">
      <c r="A589" s="63">
        <v>45064</v>
      </c>
      <c r="B589" s="64">
        <v>15361.59960938</v>
      </c>
      <c r="C589" s="47">
        <f t="shared" si="45"/>
        <v>-4.1973637081730297E-3</v>
      </c>
      <c r="D589" s="65">
        <v>467.37033044999998</v>
      </c>
      <c r="E589" s="47">
        <f t="shared" si="46"/>
        <v>-2.8027927296761845E-2</v>
      </c>
      <c r="H589" s="65">
        <v>506.44286792999998</v>
      </c>
      <c r="I589" s="47">
        <f t="shared" si="47"/>
        <v>1.5188217680477845E-2</v>
      </c>
      <c r="L589" s="65">
        <v>119.53102475999999</v>
      </c>
      <c r="M589" s="47">
        <f t="shared" si="48"/>
        <v>-3.276746267421049E-2</v>
      </c>
      <c r="P589" s="65">
        <v>1044.12305861</v>
      </c>
      <c r="Q589" s="47">
        <f t="shared" si="49"/>
        <v>9.7046048297815268E-3</v>
      </c>
    </row>
    <row r="590" spans="1:17" ht="14.4" x14ac:dyDescent="0.3">
      <c r="A590" s="63">
        <v>45065</v>
      </c>
      <c r="B590" s="64">
        <v>15407.549804689999</v>
      </c>
      <c r="C590" s="47">
        <f t="shared" si="45"/>
        <v>2.9912376626417547E-3</v>
      </c>
      <c r="D590" s="65">
        <v>525.17130391000001</v>
      </c>
      <c r="E590" s="47">
        <f t="shared" si="46"/>
        <v>0.1236727487693694</v>
      </c>
      <c r="H590" s="65">
        <v>502.77510007000001</v>
      </c>
      <c r="I590" s="47">
        <f t="shared" si="47"/>
        <v>-7.2422144574596503E-3</v>
      </c>
      <c r="L590" s="65">
        <v>116.99403916</v>
      </c>
      <c r="M590" s="47">
        <f t="shared" si="48"/>
        <v>-2.1224494687415829E-2</v>
      </c>
      <c r="P590" s="65">
        <v>1039.45747226</v>
      </c>
      <c r="Q590" s="47">
        <f t="shared" si="49"/>
        <v>-4.4684257392142435E-3</v>
      </c>
    </row>
    <row r="591" spans="1:17" ht="14.4" x14ac:dyDescent="0.3">
      <c r="A591" s="63">
        <v>45068</v>
      </c>
      <c r="B591" s="64">
        <v>15504</v>
      </c>
      <c r="C591" s="47">
        <f t="shared" si="45"/>
        <v>6.2599307828063999E-3</v>
      </c>
      <c r="D591" s="65">
        <v>540.25404443000002</v>
      </c>
      <c r="E591" s="47">
        <f t="shared" si="46"/>
        <v>2.8719658533713055E-2</v>
      </c>
      <c r="H591" s="65">
        <v>492.97825397999998</v>
      </c>
      <c r="I591" s="47">
        <f t="shared" si="47"/>
        <v>-1.9485543513662607E-2</v>
      </c>
      <c r="L591" s="65">
        <v>114.01796055</v>
      </c>
      <c r="M591" s="47">
        <f t="shared" si="48"/>
        <v>-2.5437865308077345E-2</v>
      </c>
      <c r="P591" s="65">
        <v>1057.5476242100001</v>
      </c>
      <c r="Q591" s="47">
        <f t="shared" si="49"/>
        <v>1.7403455584063643E-2</v>
      </c>
    </row>
    <row r="592" spans="1:17" ht="14.4" x14ac:dyDescent="0.3">
      <c r="A592" s="63">
        <v>45069</v>
      </c>
      <c r="B592" s="64">
        <v>15544.75</v>
      </c>
      <c r="C592" s="47">
        <f t="shared" si="45"/>
        <v>2.6283539731681849E-3</v>
      </c>
      <c r="D592" s="65">
        <v>507.60721903000001</v>
      </c>
      <c r="E592" s="47">
        <f t="shared" si="46"/>
        <v>-6.0428655253186192E-2</v>
      </c>
      <c r="H592" s="65">
        <v>499.44513451</v>
      </c>
      <c r="I592" s="47">
        <f t="shared" si="47"/>
        <v>1.3117983354824281E-2</v>
      </c>
      <c r="L592" s="65">
        <v>119.23829542</v>
      </c>
      <c r="M592" s="47">
        <f t="shared" si="48"/>
        <v>4.5785197742690187E-2</v>
      </c>
      <c r="P592" s="65">
        <v>1067.4509913899999</v>
      </c>
      <c r="Q592" s="47">
        <f t="shared" si="49"/>
        <v>9.3644644962420642E-3</v>
      </c>
    </row>
    <row r="593" spans="1:17" ht="14.4" x14ac:dyDescent="0.3">
      <c r="A593" s="63">
        <v>45070</v>
      </c>
      <c r="B593" s="64">
        <v>15515.950195310001</v>
      </c>
      <c r="C593" s="47">
        <f t="shared" si="45"/>
        <v>-1.8527029826790331E-3</v>
      </c>
      <c r="D593" s="65">
        <v>501.96331591000001</v>
      </c>
      <c r="E593" s="47">
        <f t="shared" si="46"/>
        <v>-1.1118642344734697E-2</v>
      </c>
      <c r="H593" s="65">
        <v>498.28687932999998</v>
      </c>
      <c r="I593" s="47">
        <f t="shared" si="47"/>
        <v>-2.3190839192704926E-3</v>
      </c>
      <c r="L593" s="65">
        <v>118.75041319</v>
      </c>
      <c r="M593" s="47">
        <f t="shared" si="48"/>
        <v>-4.0916572002434037E-3</v>
      </c>
      <c r="P593" s="65">
        <v>1046.98403201</v>
      </c>
      <c r="Q593" s="47">
        <f t="shared" si="49"/>
        <v>-1.9173675929935241E-2</v>
      </c>
    </row>
    <row r="594" spans="1:17" ht="14.4" x14ac:dyDescent="0.3">
      <c r="A594" s="63">
        <v>45071</v>
      </c>
      <c r="B594" s="64">
        <v>15555.25</v>
      </c>
      <c r="C594" s="47">
        <f t="shared" si="45"/>
        <v>2.5328648387823449E-3</v>
      </c>
      <c r="D594" s="65">
        <v>509.11548334999998</v>
      </c>
      <c r="E594" s="47">
        <f t="shared" si="46"/>
        <v>1.4248386711355421E-2</v>
      </c>
      <c r="H594" s="65">
        <v>499.25208393999998</v>
      </c>
      <c r="I594" s="47">
        <f t="shared" si="47"/>
        <v>1.9370460071070905E-3</v>
      </c>
      <c r="L594" s="65">
        <v>116.11585214</v>
      </c>
      <c r="M594" s="47">
        <f t="shared" si="48"/>
        <v>-2.2185700068131253E-2</v>
      </c>
      <c r="P594" s="65">
        <v>1035.4961251899999</v>
      </c>
      <c r="Q594" s="47">
        <f t="shared" si="49"/>
        <v>-1.0972380159366524E-2</v>
      </c>
    </row>
    <row r="595" spans="1:17" ht="14.4" x14ac:dyDescent="0.3">
      <c r="A595" s="63">
        <v>45072</v>
      </c>
      <c r="B595" s="64">
        <v>15696.75</v>
      </c>
      <c r="C595" s="47">
        <f t="shared" si="45"/>
        <v>9.0966072547853383E-3</v>
      </c>
      <c r="D595" s="65">
        <v>514.12681634</v>
      </c>
      <c r="E595" s="47">
        <f t="shared" si="46"/>
        <v>9.8432146612892346E-3</v>
      </c>
      <c r="H595" s="65">
        <v>497.27342413999997</v>
      </c>
      <c r="I595" s="47">
        <f t="shared" si="47"/>
        <v>-3.963247953588489E-3</v>
      </c>
      <c r="L595" s="65">
        <v>116.4573697</v>
      </c>
      <c r="M595" s="47">
        <f t="shared" si="48"/>
        <v>2.9411794660751944E-3</v>
      </c>
      <c r="P595" s="65">
        <v>1020.17891711</v>
      </c>
      <c r="Q595" s="47">
        <f t="shared" si="49"/>
        <v>-1.479214427498643E-2</v>
      </c>
    </row>
    <row r="596" spans="1:17" ht="14.4" x14ac:dyDescent="0.3">
      <c r="A596" s="63">
        <v>45075</v>
      </c>
      <c r="B596" s="64">
        <v>15772.34960938</v>
      </c>
      <c r="C596" s="47">
        <f t="shared" si="45"/>
        <v>4.8162587401849866E-3</v>
      </c>
      <c r="D596" s="65">
        <v>509.01814616000001</v>
      </c>
      <c r="E596" s="47">
        <f t="shared" si="46"/>
        <v>-9.9365954422839797E-3</v>
      </c>
      <c r="H596" s="65">
        <v>488.73136335999999</v>
      </c>
      <c r="I596" s="47">
        <f t="shared" si="47"/>
        <v>-1.7177794680608316E-2</v>
      </c>
      <c r="L596" s="65">
        <v>116.70130982000001</v>
      </c>
      <c r="M596" s="47">
        <f t="shared" si="48"/>
        <v>2.0946731033717469E-3</v>
      </c>
      <c r="P596" s="65">
        <v>1016.12953949</v>
      </c>
      <c r="Q596" s="47">
        <f t="shared" si="49"/>
        <v>-3.9692818113428174E-3</v>
      </c>
    </row>
    <row r="597" spans="1:17" ht="14.4" x14ac:dyDescent="0.3">
      <c r="A597" s="63">
        <v>45076</v>
      </c>
      <c r="B597" s="64">
        <v>15799.450195310001</v>
      </c>
      <c r="C597" s="47">
        <f t="shared" si="45"/>
        <v>1.7182339094159449E-3</v>
      </c>
      <c r="D597" s="65">
        <v>520.40319227999998</v>
      </c>
      <c r="E597" s="47">
        <f t="shared" si="46"/>
        <v>2.2366680256662885E-2</v>
      </c>
      <c r="H597" s="65">
        <v>502.77510007000001</v>
      </c>
      <c r="I597" s="47">
        <f t="shared" si="47"/>
        <v>2.8735083857623023E-2</v>
      </c>
      <c r="L597" s="65">
        <v>112.89583241</v>
      </c>
      <c r="M597" s="47">
        <f t="shared" si="48"/>
        <v>-3.2608694931270055E-2</v>
      </c>
      <c r="P597" s="65">
        <v>1016.2175700400001</v>
      </c>
      <c r="Q597" s="47">
        <f t="shared" si="49"/>
        <v>8.6633196437091442E-5</v>
      </c>
    </row>
    <row r="598" spans="1:17" ht="14.4" x14ac:dyDescent="0.3">
      <c r="A598" s="63">
        <v>45077</v>
      </c>
      <c r="B598" s="64">
        <v>15766.40039063</v>
      </c>
      <c r="C598" s="47">
        <f t="shared" si="45"/>
        <v>-2.0918325809724525E-3</v>
      </c>
      <c r="D598" s="65">
        <v>508.43431759999999</v>
      </c>
      <c r="E598" s="47">
        <f t="shared" si="46"/>
        <v>-2.2999233781717865E-2</v>
      </c>
      <c r="H598" s="65">
        <v>518.41137612</v>
      </c>
      <c r="I598" s="47">
        <f t="shared" si="47"/>
        <v>3.109994120198678E-2</v>
      </c>
      <c r="L598" s="65">
        <v>110.16369491</v>
      </c>
      <c r="M598" s="47">
        <f t="shared" si="48"/>
        <v>-2.4200516898425284E-2</v>
      </c>
      <c r="P598" s="65">
        <v>1006.3582171100001</v>
      </c>
      <c r="Q598" s="47">
        <f t="shared" si="49"/>
        <v>-9.7020099048394925E-3</v>
      </c>
    </row>
    <row r="599" spans="1:17" ht="14.4" x14ac:dyDescent="0.3">
      <c r="A599" s="63">
        <v>45078</v>
      </c>
      <c r="B599" s="64">
        <v>15760.34960938</v>
      </c>
      <c r="C599" s="47">
        <f t="shared" si="45"/>
        <v>-3.8377696240643466E-4</v>
      </c>
      <c r="D599" s="65">
        <v>517.58128938000004</v>
      </c>
      <c r="E599" s="47">
        <f t="shared" si="46"/>
        <v>1.799046890299838E-2</v>
      </c>
      <c r="H599" s="65">
        <v>520.14878303</v>
      </c>
      <c r="I599" s="47">
        <f t="shared" si="47"/>
        <v>3.3514058333430352E-3</v>
      </c>
      <c r="L599" s="65">
        <v>109.87096558</v>
      </c>
      <c r="M599" s="47">
        <f t="shared" si="48"/>
        <v>-2.6572214216230572E-3</v>
      </c>
      <c r="P599" s="65">
        <v>1018.63839274</v>
      </c>
      <c r="Q599" s="47">
        <f t="shared" si="49"/>
        <v>1.2202588920340318E-2</v>
      </c>
    </row>
    <row r="600" spans="1:17" ht="14.4" x14ac:dyDescent="0.3">
      <c r="A600" s="63">
        <v>45079</v>
      </c>
      <c r="B600" s="64">
        <v>15811.200195310001</v>
      </c>
      <c r="C600" s="47">
        <f t="shared" si="45"/>
        <v>3.2264884466608468E-3</v>
      </c>
      <c r="D600" s="65">
        <v>512.52126347000001</v>
      </c>
      <c r="E600" s="47">
        <f t="shared" si="46"/>
        <v>-9.7762921763677735E-3</v>
      </c>
      <c r="H600" s="65">
        <v>517.2531692</v>
      </c>
      <c r="I600" s="47">
        <f t="shared" si="47"/>
        <v>-5.5668953277796529E-3</v>
      </c>
      <c r="L600" s="65">
        <v>111.09067016</v>
      </c>
      <c r="M600" s="47">
        <f t="shared" si="48"/>
        <v>1.110124566177495E-2</v>
      </c>
      <c r="P600" s="65">
        <v>1014.72106094</v>
      </c>
      <c r="Q600" s="47">
        <f t="shared" si="49"/>
        <v>-3.8456549722839517E-3</v>
      </c>
    </row>
    <row r="601" spans="1:17" ht="14.4" x14ac:dyDescent="0.3">
      <c r="A601" s="63">
        <v>45082</v>
      </c>
      <c r="B601" s="64">
        <v>15859.5</v>
      </c>
      <c r="C601" s="47">
        <f t="shared" si="45"/>
        <v>3.0547842095078881E-3</v>
      </c>
      <c r="D601" s="65">
        <v>516.07297640000002</v>
      </c>
      <c r="E601" s="47">
        <f t="shared" si="46"/>
        <v>6.9298840519382843E-3</v>
      </c>
      <c r="H601" s="65">
        <v>504.65721044999998</v>
      </c>
      <c r="I601" s="47">
        <f t="shared" si="47"/>
        <v>-2.4351631850765276E-2</v>
      </c>
      <c r="L601" s="65">
        <v>112.79825597</v>
      </c>
      <c r="M601" s="47">
        <f t="shared" si="48"/>
        <v>1.5371100089148992E-2</v>
      </c>
      <c r="P601" s="65">
        <v>1015.90946516</v>
      </c>
      <c r="Q601" s="47">
        <f t="shared" si="49"/>
        <v>1.1711634514603997E-3</v>
      </c>
    </row>
    <row r="602" spans="1:17" ht="14.4" x14ac:dyDescent="0.3">
      <c r="A602" s="63">
        <v>45083</v>
      </c>
      <c r="B602" s="64">
        <v>15878.40039063</v>
      </c>
      <c r="C602" s="47">
        <f t="shared" si="45"/>
        <v>1.1917393757685524E-3</v>
      </c>
      <c r="D602" s="65">
        <v>518.60301368</v>
      </c>
      <c r="E602" s="47">
        <f t="shared" si="46"/>
        <v>4.9024796796159897E-3</v>
      </c>
      <c r="H602" s="65">
        <v>507.45632311999998</v>
      </c>
      <c r="I602" s="47">
        <f t="shared" si="47"/>
        <v>5.5465623239665529E-3</v>
      </c>
      <c r="L602" s="65">
        <v>118.26253196</v>
      </c>
      <c r="M602" s="47">
        <f t="shared" si="48"/>
        <v>4.8442912020317808E-2</v>
      </c>
      <c r="P602" s="65">
        <v>1030.3023596400001</v>
      </c>
      <c r="Q602" s="47">
        <f t="shared" si="49"/>
        <v>1.4167497177254296E-2</v>
      </c>
    </row>
    <row r="603" spans="1:17" ht="14.4" x14ac:dyDescent="0.3">
      <c r="A603" s="63">
        <v>45084</v>
      </c>
      <c r="B603" s="64">
        <v>16006.700195310001</v>
      </c>
      <c r="C603" s="47">
        <f t="shared" si="45"/>
        <v>8.0801467102260549E-3</v>
      </c>
      <c r="D603" s="65">
        <v>512.56990773999996</v>
      </c>
      <c r="E603" s="47">
        <f t="shared" si="46"/>
        <v>-1.1633380024518525E-2</v>
      </c>
      <c r="H603" s="65">
        <v>510.35193693999997</v>
      </c>
      <c r="I603" s="47">
        <f t="shared" si="47"/>
        <v>5.7061340810513617E-3</v>
      </c>
      <c r="L603" s="65">
        <v>129.38624483000001</v>
      </c>
      <c r="M603" s="47">
        <f t="shared" si="48"/>
        <v>9.4059485161051448E-2</v>
      </c>
      <c r="P603" s="65">
        <v>1040.46981641</v>
      </c>
      <c r="Q603" s="47">
        <f t="shared" si="49"/>
        <v>9.8684203475498666E-3</v>
      </c>
    </row>
    <row r="604" spans="1:17" ht="14.4" x14ac:dyDescent="0.3">
      <c r="A604" s="63">
        <v>45085</v>
      </c>
      <c r="B604" s="64">
        <v>15921.049804689999</v>
      </c>
      <c r="C604" s="47">
        <f t="shared" si="45"/>
        <v>-5.3509086554327512E-3</v>
      </c>
      <c r="D604" s="65">
        <v>514.27279780000003</v>
      </c>
      <c r="E604" s="47">
        <f t="shared" si="46"/>
        <v>3.322259138286876E-3</v>
      </c>
      <c r="H604" s="65">
        <v>512.08929559000001</v>
      </c>
      <c r="I604" s="47">
        <f t="shared" si="47"/>
        <v>3.4042364185331575E-3</v>
      </c>
      <c r="L604" s="65">
        <v>129.58138774</v>
      </c>
      <c r="M604" s="47">
        <f t="shared" si="48"/>
        <v>1.5082199058824575E-3</v>
      </c>
      <c r="P604" s="65">
        <v>1040.7339070400001</v>
      </c>
      <c r="Q604" s="47">
        <f t="shared" si="49"/>
        <v>2.5381863638407332E-4</v>
      </c>
    </row>
    <row r="605" spans="1:17" ht="14.4" x14ac:dyDescent="0.3">
      <c r="A605" s="63">
        <v>45086</v>
      </c>
      <c r="B605" s="64">
        <v>15877.40039063</v>
      </c>
      <c r="C605" s="47">
        <f t="shared" si="45"/>
        <v>-2.7416165765111744E-3</v>
      </c>
      <c r="D605" s="65">
        <v>522.30070808000005</v>
      </c>
      <c r="E605" s="47">
        <f t="shared" si="46"/>
        <v>1.5610217601130127E-2</v>
      </c>
      <c r="H605" s="65">
        <v>516.43271632999995</v>
      </c>
      <c r="I605" s="47">
        <f t="shared" si="47"/>
        <v>8.4817643668877452E-3</v>
      </c>
      <c r="L605" s="65">
        <v>133.53323979999999</v>
      </c>
      <c r="M605" s="47">
        <f t="shared" si="48"/>
        <v>3.0497065426781989E-2</v>
      </c>
      <c r="P605" s="65">
        <v>1021.54338039</v>
      </c>
      <c r="Q605" s="47">
        <f t="shared" si="49"/>
        <v>-1.8439417146099091E-2</v>
      </c>
    </row>
    <row r="606" spans="1:17" ht="14.4" x14ac:dyDescent="0.3">
      <c r="A606" s="63">
        <v>45089</v>
      </c>
      <c r="B606" s="64">
        <v>15929.09960938</v>
      </c>
      <c r="C606" s="47">
        <f t="shared" si="45"/>
        <v>3.2561513521136565E-3</v>
      </c>
      <c r="D606" s="65">
        <v>548.13597324</v>
      </c>
      <c r="E606" s="47">
        <f t="shared" si="46"/>
        <v>4.9464350249440514E-2</v>
      </c>
      <c r="H606" s="65">
        <v>516.14316459999998</v>
      </c>
      <c r="I606" s="47">
        <f t="shared" si="47"/>
        <v>-5.6067658156444544E-4</v>
      </c>
      <c r="L606" s="65">
        <v>134.55777151000001</v>
      </c>
      <c r="M606" s="47">
        <f t="shared" si="48"/>
        <v>7.672484480527153E-3</v>
      </c>
      <c r="P606" s="65">
        <v>1044.0350290900001</v>
      </c>
      <c r="Q606" s="47">
        <f t="shared" si="49"/>
        <v>2.2017321174763405E-2</v>
      </c>
    </row>
    <row r="607" spans="1:17" ht="14.4" x14ac:dyDescent="0.3">
      <c r="A607" s="63">
        <v>45090</v>
      </c>
      <c r="B607" s="64">
        <v>16048.200195310001</v>
      </c>
      <c r="C607" s="47">
        <f t="shared" si="45"/>
        <v>7.4769189000405412E-3</v>
      </c>
      <c r="D607" s="65">
        <v>537.23746714000004</v>
      </c>
      <c r="E607" s="47">
        <f t="shared" si="46"/>
        <v>-1.988285139466317E-2</v>
      </c>
      <c r="H607" s="65">
        <v>515.95011402</v>
      </c>
      <c r="I607" s="47">
        <f t="shared" si="47"/>
        <v>-3.740252574101488E-4</v>
      </c>
      <c r="L607" s="65">
        <v>137.92417488999999</v>
      </c>
      <c r="M607" s="47">
        <f t="shared" si="48"/>
        <v>2.5018275363974718E-2</v>
      </c>
      <c r="P607" s="65">
        <v>1044.3871492400001</v>
      </c>
      <c r="Q607" s="47">
        <f t="shared" si="49"/>
        <v>3.3726852087223591E-4</v>
      </c>
    </row>
    <row r="608" spans="1:17" ht="14.4" x14ac:dyDescent="0.3">
      <c r="A608" s="63">
        <v>45091</v>
      </c>
      <c r="B608" s="64">
        <v>16084.049804689999</v>
      </c>
      <c r="C608" s="47">
        <f t="shared" si="45"/>
        <v>2.233871022526035E-3</v>
      </c>
      <c r="D608" s="65">
        <v>551.54175336000003</v>
      </c>
      <c r="E608" s="47">
        <f t="shared" si="46"/>
        <v>2.6625630368167119E-2</v>
      </c>
      <c r="H608" s="65">
        <v>515.03315998999994</v>
      </c>
      <c r="I608" s="47">
        <f t="shared" si="47"/>
        <v>-1.7772145117977978E-3</v>
      </c>
      <c r="L608" s="65">
        <v>134.89929906</v>
      </c>
      <c r="M608" s="47">
        <f t="shared" si="48"/>
        <v>-2.1931440462938712E-2</v>
      </c>
      <c r="P608" s="65">
        <v>1076.51807551</v>
      </c>
      <c r="Q608" s="47">
        <f t="shared" si="49"/>
        <v>3.0765340509390171E-2</v>
      </c>
    </row>
    <row r="609" spans="1:17" ht="14.4" x14ac:dyDescent="0.3">
      <c r="A609" s="63">
        <v>45092</v>
      </c>
      <c r="B609" s="64">
        <v>16058.25</v>
      </c>
      <c r="C609" s="47">
        <f t="shared" si="45"/>
        <v>-1.6040614772577788E-3</v>
      </c>
      <c r="D609" s="65">
        <v>537.14017859</v>
      </c>
      <c r="E609" s="47">
        <f t="shared" si="46"/>
        <v>-2.61114859976882E-2</v>
      </c>
      <c r="H609" s="65">
        <v>509.77283347999997</v>
      </c>
      <c r="I609" s="47">
        <f t="shared" si="47"/>
        <v>-1.0213568598383294E-2</v>
      </c>
      <c r="L609" s="65">
        <v>135.09445195000001</v>
      </c>
      <c r="M609" s="47">
        <f t="shared" si="48"/>
        <v>1.4466560713055632E-3</v>
      </c>
      <c r="P609" s="65">
        <v>1060.62867194</v>
      </c>
      <c r="Q609" s="47">
        <f t="shared" si="49"/>
        <v>-1.4759997004669345E-2</v>
      </c>
    </row>
    <row r="610" spans="1:17" ht="14.4" x14ac:dyDescent="0.3">
      <c r="A610" s="63">
        <v>45093</v>
      </c>
      <c r="B610" s="64">
        <v>16181.450195310001</v>
      </c>
      <c r="C610" s="47">
        <f t="shared" si="45"/>
        <v>7.6720810368502423E-3</v>
      </c>
      <c r="D610" s="65">
        <v>535.68055853999999</v>
      </c>
      <c r="E610" s="47">
        <f t="shared" si="46"/>
        <v>-2.7173913033866626E-3</v>
      </c>
      <c r="H610" s="65">
        <v>515.85361287000001</v>
      </c>
      <c r="I610" s="47">
        <f t="shared" si="47"/>
        <v>1.1928410049804272E-2</v>
      </c>
      <c r="L610" s="65">
        <v>140.50993872999999</v>
      </c>
      <c r="M610" s="47">
        <f t="shared" si="48"/>
        <v>4.0086670487432752E-2</v>
      </c>
      <c r="P610" s="65">
        <v>1079.81919756</v>
      </c>
      <c r="Q610" s="47">
        <f t="shared" si="49"/>
        <v>1.8093538415191679E-2</v>
      </c>
    </row>
    <row r="611" spans="1:17" ht="14.4" x14ac:dyDescent="0.3">
      <c r="A611" s="63">
        <v>45096</v>
      </c>
      <c r="B611" s="64">
        <v>16142.15039063</v>
      </c>
      <c r="C611" s="47">
        <f t="shared" si="45"/>
        <v>-2.4286948453724477E-3</v>
      </c>
      <c r="D611" s="65">
        <v>556.99103074000004</v>
      </c>
      <c r="E611" s="47">
        <f t="shared" si="46"/>
        <v>3.9782052680952029E-2</v>
      </c>
      <c r="H611" s="65">
        <v>524.92650722999997</v>
      </c>
      <c r="I611" s="47">
        <f t="shared" si="47"/>
        <v>1.7588118283251131E-2</v>
      </c>
      <c r="L611" s="65">
        <v>168.61192627</v>
      </c>
      <c r="M611" s="47">
        <f t="shared" si="48"/>
        <v>0.19999999853391159</v>
      </c>
      <c r="P611" s="65">
        <v>1081.9759306599999</v>
      </c>
      <c r="Q611" s="47">
        <f t="shared" si="49"/>
        <v>1.9973094615035603E-3</v>
      </c>
    </row>
    <row r="612" spans="1:17" ht="14.4" x14ac:dyDescent="0.3">
      <c r="A612" s="63">
        <v>45097</v>
      </c>
      <c r="B612" s="64">
        <v>16199.950195310001</v>
      </c>
      <c r="C612" s="47">
        <f t="shared" si="45"/>
        <v>3.5806756399414663E-3</v>
      </c>
      <c r="D612" s="65">
        <v>545.75191743000005</v>
      </c>
      <c r="E612" s="47">
        <f t="shared" si="46"/>
        <v>-2.0178266237192544E-2</v>
      </c>
      <c r="H612" s="65">
        <v>520.05223361000003</v>
      </c>
      <c r="I612" s="47">
        <f t="shared" si="47"/>
        <v>-9.2856305651645155E-3</v>
      </c>
      <c r="L612" s="65">
        <v>173.58831004000001</v>
      </c>
      <c r="M612" s="47">
        <f t="shared" si="48"/>
        <v>2.951383024965426E-2</v>
      </c>
      <c r="P612" s="65">
        <v>1066.48266251</v>
      </c>
      <c r="Q612" s="47">
        <f t="shared" si="49"/>
        <v>-1.4319420341032063E-2</v>
      </c>
    </row>
    <row r="613" spans="1:17" ht="14.4" x14ac:dyDescent="0.3">
      <c r="A613" s="63">
        <v>45098</v>
      </c>
      <c r="B613" s="64">
        <v>16240.950195310001</v>
      </c>
      <c r="C613" s="47">
        <f t="shared" si="45"/>
        <v>2.5308719783514455E-3</v>
      </c>
      <c r="D613" s="65">
        <v>540.64324724999994</v>
      </c>
      <c r="E613" s="47">
        <f t="shared" si="46"/>
        <v>-9.3607919951199658E-3</v>
      </c>
      <c r="H613" s="65">
        <v>515.66056229000003</v>
      </c>
      <c r="I613" s="47">
        <f t="shared" si="47"/>
        <v>-8.4446735081104007E-3</v>
      </c>
      <c r="L613" s="65">
        <v>164.85523709</v>
      </c>
      <c r="M613" s="47">
        <f t="shared" si="48"/>
        <v>-5.0309107496856464E-2</v>
      </c>
      <c r="P613" s="65">
        <v>1065.82243851</v>
      </c>
      <c r="Q613" s="47">
        <f t="shared" si="49"/>
        <v>-6.1906679143397536E-4</v>
      </c>
    </row>
    <row r="614" spans="1:17" ht="14.4" x14ac:dyDescent="0.3">
      <c r="A614" s="63">
        <v>45099</v>
      </c>
      <c r="B614" s="64">
        <v>16140.799804689999</v>
      </c>
      <c r="C614" s="47">
        <f t="shared" si="45"/>
        <v>-6.1665351728572571E-3</v>
      </c>
      <c r="D614" s="65">
        <v>535.38864425999998</v>
      </c>
      <c r="E614" s="47">
        <f t="shared" si="46"/>
        <v>-9.7191688173813295E-3</v>
      </c>
      <c r="H614" s="65">
        <v>512.57189788999995</v>
      </c>
      <c r="I614" s="47">
        <f t="shared" si="47"/>
        <v>-5.9897239111783573E-3</v>
      </c>
      <c r="L614" s="65">
        <v>162.75734549000001</v>
      </c>
      <c r="M614" s="47">
        <f t="shared" si="48"/>
        <v>-1.2725659415082413E-2</v>
      </c>
      <c r="P614" s="65">
        <v>1072.68877324</v>
      </c>
      <c r="Q614" s="47">
        <f t="shared" si="49"/>
        <v>6.4422876474612423E-3</v>
      </c>
    </row>
    <row r="615" spans="1:17" ht="14.4" x14ac:dyDescent="0.3">
      <c r="A615" s="63">
        <v>45100</v>
      </c>
      <c r="B615" s="64">
        <v>16011.799804689999</v>
      </c>
      <c r="C615" s="47">
        <f t="shared" si="45"/>
        <v>-7.9921690102690013E-3</v>
      </c>
      <c r="D615" s="65">
        <v>536.60499431000005</v>
      </c>
      <c r="E615" s="47">
        <f t="shared" si="46"/>
        <v>2.2719011003329292E-3</v>
      </c>
      <c r="H615" s="65">
        <v>503.06465179999998</v>
      </c>
      <c r="I615" s="47">
        <f t="shared" si="47"/>
        <v>-1.8548121988615662E-2</v>
      </c>
      <c r="L615" s="65">
        <v>161.14732613999999</v>
      </c>
      <c r="M615" s="47">
        <f t="shared" si="48"/>
        <v>-9.8921455443553574E-3</v>
      </c>
      <c r="P615" s="65">
        <v>1059.7483725899999</v>
      </c>
      <c r="Q615" s="47">
        <f t="shared" si="49"/>
        <v>-1.2063518303556342E-2</v>
      </c>
    </row>
    <row r="616" spans="1:17" ht="14.4" x14ac:dyDescent="0.3">
      <c r="A616" s="63">
        <v>45103</v>
      </c>
      <c r="B616" s="64">
        <v>16066.15039063</v>
      </c>
      <c r="C616" s="47">
        <f t="shared" si="45"/>
        <v>3.3944082865737801E-3</v>
      </c>
      <c r="D616" s="65">
        <v>538.16190289999997</v>
      </c>
      <c r="E616" s="47">
        <f t="shared" si="46"/>
        <v>2.9014053288898278E-3</v>
      </c>
      <c r="H616" s="65">
        <v>505.09156216999997</v>
      </c>
      <c r="I616" s="47">
        <f t="shared" si="47"/>
        <v>4.029125009573864E-3</v>
      </c>
      <c r="L616" s="65">
        <v>163.34279418</v>
      </c>
      <c r="M616" s="47">
        <f t="shared" si="48"/>
        <v>1.3623980568518101E-2</v>
      </c>
      <c r="P616" s="65">
        <v>1083.0763053600001</v>
      </c>
      <c r="Q616" s="47">
        <f t="shared" si="49"/>
        <v>2.2012709217931858E-2</v>
      </c>
    </row>
    <row r="617" spans="1:17" ht="14.4" x14ac:dyDescent="0.3">
      <c r="A617" s="63">
        <v>45104</v>
      </c>
      <c r="B617" s="64">
        <v>16163.5</v>
      </c>
      <c r="C617" s="47">
        <f t="shared" si="45"/>
        <v>6.0592990232914978E-3</v>
      </c>
      <c r="D617" s="65">
        <v>535.19401852999999</v>
      </c>
      <c r="E617" s="47">
        <f t="shared" si="46"/>
        <v>-5.5148540876024388E-3</v>
      </c>
      <c r="H617" s="65">
        <v>519.28007957</v>
      </c>
      <c r="I617" s="47">
        <f t="shared" si="47"/>
        <v>2.8090980849180269E-2</v>
      </c>
      <c r="L617" s="65">
        <v>165.00161175</v>
      </c>
      <c r="M617" s="47">
        <f t="shared" si="48"/>
        <v>1.0155437699761682E-2</v>
      </c>
      <c r="P617" s="65">
        <v>1104.1594744900001</v>
      </c>
      <c r="Q617" s="47">
        <f t="shared" si="49"/>
        <v>1.9466005327290592E-2</v>
      </c>
    </row>
    <row r="618" spans="1:17" ht="14.4" x14ac:dyDescent="0.3">
      <c r="A618" s="63">
        <v>45105</v>
      </c>
      <c r="B618" s="64">
        <v>16277.200195310001</v>
      </c>
      <c r="C618" s="47">
        <f t="shared" si="45"/>
        <v>7.0343796399294778E-3</v>
      </c>
      <c r="D618" s="65">
        <v>538.59979864000002</v>
      </c>
      <c r="E618" s="47">
        <f t="shared" si="46"/>
        <v>6.3636363488415171E-3</v>
      </c>
      <c r="H618" s="65">
        <v>510.40018751999997</v>
      </c>
      <c r="I618" s="47">
        <f t="shared" si="47"/>
        <v>-1.7100390327611237E-2</v>
      </c>
      <c r="L618" s="65">
        <v>161.83038024000001</v>
      </c>
      <c r="M618" s="47">
        <f t="shared" si="48"/>
        <v>-1.9219397170524788E-2</v>
      </c>
      <c r="P618" s="65">
        <v>1109.1771809899999</v>
      </c>
      <c r="Q618" s="47">
        <f t="shared" si="49"/>
        <v>4.5443675627721003E-3</v>
      </c>
    </row>
    <row r="619" spans="1:17" ht="14.4" x14ac:dyDescent="0.3">
      <c r="A619" s="63">
        <v>45107</v>
      </c>
      <c r="B619" s="64">
        <v>16430</v>
      </c>
      <c r="C619" s="47">
        <f t="shared" si="45"/>
        <v>9.3873518084532925E-3</v>
      </c>
      <c r="D619" s="65">
        <v>536.31308003000004</v>
      </c>
      <c r="E619" s="47">
        <f t="shared" si="46"/>
        <v>-4.2456729760651513E-3</v>
      </c>
      <c r="H619" s="65">
        <v>517.88052324</v>
      </c>
      <c r="I619" s="47">
        <f t="shared" si="47"/>
        <v>1.4655824787891403E-2</v>
      </c>
      <c r="L619" s="65">
        <v>164.26978840000001</v>
      </c>
      <c r="M619" s="47">
        <f t="shared" si="48"/>
        <v>1.5073857926937384E-2</v>
      </c>
      <c r="P619" s="65">
        <v>1119.16857871</v>
      </c>
      <c r="Q619" s="47">
        <f t="shared" si="49"/>
        <v>9.0079365959208069E-3</v>
      </c>
    </row>
    <row r="620" spans="1:17" ht="14.4" x14ac:dyDescent="0.3">
      <c r="A620" s="63">
        <v>45110</v>
      </c>
      <c r="B620" s="64">
        <v>16527.94921875</v>
      </c>
      <c r="C620" s="47">
        <f t="shared" si="45"/>
        <v>5.9616079580036008E-3</v>
      </c>
      <c r="D620" s="65">
        <v>543.12464025999998</v>
      </c>
      <c r="E620" s="47">
        <f t="shared" si="46"/>
        <v>1.2700716211543783E-2</v>
      </c>
      <c r="H620" s="65">
        <v>536.26766138999994</v>
      </c>
      <c r="I620" s="47">
        <f t="shared" si="47"/>
        <v>3.5504594833891456E-2</v>
      </c>
      <c r="L620" s="65">
        <v>154.46335654999999</v>
      </c>
      <c r="M620" s="47">
        <f t="shared" si="48"/>
        <v>-5.9697111352704613E-2</v>
      </c>
      <c r="P620" s="65">
        <v>1100.99039724</v>
      </c>
      <c r="Q620" s="47">
        <f t="shared" si="49"/>
        <v>-1.624257669112994E-2</v>
      </c>
    </row>
    <row r="621" spans="1:17" ht="14.4" x14ac:dyDescent="0.3">
      <c r="A621" s="63">
        <v>45111</v>
      </c>
      <c r="B621" s="64">
        <v>16556.05078125</v>
      </c>
      <c r="C621" s="47">
        <f t="shared" si="45"/>
        <v>1.7002449685723509E-3</v>
      </c>
      <c r="D621" s="65">
        <v>559.52101936999998</v>
      </c>
      <c r="E621" s="47">
        <f t="shared" si="46"/>
        <v>3.018898038238671E-2</v>
      </c>
      <c r="H621" s="65">
        <v>533.56509813000002</v>
      </c>
      <c r="I621" s="47">
        <f t="shared" si="47"/>
        <v>-5.0395790284928355E-3</v>
      </c>
      <c r="L621" s="65">
        <v>162.80614370000001</v>
      </c>
      <c r="M621" s="47">
        <f t="shared" si="48"/>
        <v>5.4011432461002151E-2</v>
      </c>
      <c r="P621" s="65">
        <v>1095.97269074</v>
      </c>
      <c r="Q621" s="47">
        <f t="shared" si="49"/>
        <v>-4.5574480146044483E-3</v>
      </c>
    </row>
    <row r="622" spans="1:17" ht="14.4" x14ac:dyDescent="0.3">
      <c r="A622" s="63">
        <v>45112</v>
      </c>
      <c r="B622" s="64">
        <v>16597.19921875</v>
      </c>
      <c r="C622" s="47">
        <f t="shared" si="45"/>
        <v>2.4854017448774357E-3</v>
      </c>
      <c r="D622" s="65">
        <v>560.00755938999998</v>
      </c>
      <c r="E622" s="47">
        <f t="shared" si="46"/>
        <v>8.6956522303283101E-4</v>
      </c>
      <c r="H622" s="65">
        <v>528.69082450999997</v>
      </c>
      <c r="I622" s="47">
        <f t="shared" si="47"/>
        <v>-9.1352932136735676E-3</v>
      </c>
      <c r="L622" s="65">
        <v>165.05037999000001</v>
      </c>
      <c r="M622" s="47">
        <f t="shared" si="48"/>
        <v>1.3784714992914671E-2</v>
      </c>
      <c r="P622" s="65">
        <v>1073.1729371599999</v>
      </c>
      <c r="Q622" s="47">
        <f t="shared" si="49"/>
        <v>-2.0803213230254469E-2</v>
      </c>
    </row>
    <row r="623" spans="1:17" ht="14.4" x14ac:dyDescent="0.3">
      <c r="A623" s="63">
        <v>45113</v>
      </c>
      <c r="B623" s="64">
        <v>16695.05078125</v>
      </c>
      <c r="C623" s="47">
        <f t="shared" si="45"/>
        <v>5.8956671671119842E-3</v>
      </c>
      <c r="D623" s="65">
        <v>581.46396440000001</v>
      </c>
      <c r="E623" s="47">
        <f t="shared" si="46"/>
        <v>3.8314491742525547E-2</v>
      </c>
      <c r="H623" s="65">
        <v>542.57416096999998</v>
      </c>
      <c r="I623" s="47">
        <f t="shared" si="47"/>
        <v>2.6259839997918144E-2</v>
      </c>
      <c r="L623" s="65">
        <v>162.07432136</v>
      </c>
      <c r="M623" s="47">
        <f t="shared" si="48"/>
        <v>-1.803121344028602E-2</v>
      </c>
      <c r="P623" s="65">
        <v>1074.7574768100001</v>
      </c>
      <c r="Q623" s="47">
        <f t="shared" si="49"/>
        <v>1.4764998213554481E-3</v>
      </c>
    </row>
    <row r="624" spans="1:17" ht="14.4" x14ac:dyDescent="0.3">
      <c r="A624" s="63">
        <v>45114</v>
      </c>
      <c r="B624" s="64">
        <v>16564.900390629999</v>
      </c>
      <c r="C624" s="47">
        <f t="shared" si="45"/>
        <v>-7.7957469147785785E-3</v>
      </c>
      <c r="D624" s="65">
        <v>580.44224009000004</v>
      </c>
      <c r="E624" s="47">
        <f t="shared" si="46"/>
        <v>-1.7571584355261516E-3</v>
      </c>
      <c r="H624" s="65">
        <v>541.54758661999995</v>
      </c>
      <c r="I624" s="47">
        <f t="shared" si="47"/>
        <v>-1.8920443025977063E-3</v>
      </c>
      <c r="L624" s="65">
        <v>158.65914873</v>
      </c>
      <c r="M624" s="47">
        <f t="shared" si="48"/>
        <v>-2.1071645411454232E-2</v>
      </c>
      <c r="P624" s="65">
        <v>1081.0516170599999</v>
      </c>
      <c r="Q624" s="47">
        <f t="shared" si="49"/>
        <v>5.8563353926892603E-3</v>
      </c>
    </row>
    <row r="625" spans="1:17" ht="14.4" x14ac:dyDescent="0.3">
      <c r="A625" s="63">
        <v>45117</v>
      </c>
      <c r="B625" s="64">
        <v>16553.75</v>
      </c>
      <c r="C625" s="47">
        <f t="shared" si="45"/>
        <v>-6.7313357563603127E-4</v>
      </c>
      <c r="D625" s="65">
        <v>567.45164109999996</v>
      </c>
      <c r="E625" s="47">
        <f t="shared" si="46"/>
        <v>-2.238051970164312E-2</v>
      </c>
      <c r="H625" s="65">
        <v>531.52617019000002</v>
      </c>
      <c r="I625" s="47">
        <f t="shared" si="47"/>
        <v>-1.850514465874975E-2</v>
      </c>
      <c r="L625" s="65">
        <v>156.36609526000001</v>
      </c>
      <c r="M625" s="47">
        <f t="shared" si="48"/>
        <v>-1.4452702465347356E-2</v>
      </c>
      <c r="P625" s="65">
        <v>1087.0816677099999</v>
      </c>
      <c r="Q625" s="47">
        <f t="shared" si="49"/>
        <v>5.5779488738929572E-3</v>
      </c>
    </row>
    <row r="626" spans="1:17" ht="14.4" x14ac:dyDescent="0.3">
      <c r="A626" s="63">
        <v>45118</v>
      </c>
      <c r="B626" s="64">
        <v>16648</v>
      </c>
      <c r="C626" s="47">
        <f t="shared" si="45"/>
        <v>5.6935739636034821E-3</v>
      </c>
      <c r="D626" s="65">
        <v>569.64107118000004</v>
      </c>
      <c r="E626" s="47">
        <f t="shared" si="46"/>
        <v>3.8583553582749452E-3</v>
      </c>
      <c r="H626" s="65">
        <v>542.47636172</v>
      </c>
      <c r="I626" s="47">
        <f t="shared" si="47"/>
        <v>2.0601415591796179E-2</v>
      </c>
      <c r="L626" s="65">
        <v>159.87885331000001</v>
      </c>
      <c r="M626" s="47">
        <f t="shared" si="48"/>
        <v>2.2464959837739107E-2</v>
      </c>
      <c r="P626" s="65">
        <v>1077.1342842399999</v>
      </c>
      <c r="Q626" s="47">
        <f t="shared" si="49"/>
        <v>-9.1505392515308648E-3</v>
      </c>
    </row>
    <row r="627" spans="1:17" ht="14.4" x14ac:dyDescent="0.3">
      <c r="A627" s="63">
        <v>45119</v>
      </c>
      <c r="B627" s="64">
        <v>16641.05078125</v>
      </c>
      <c r="C627" s="47">
        <f t="shared" si="45"/>
        <v>-4.1742063611249769E-4</v>
      </c>
      <c r="D627" s="65">
        <v>570.80872829999998</v>
      </c>
      <c r="E627" s="47">
        <f t="shared" si="46"/>
        <v>2.049812029145226E-3</v>
      </c>
      <c r="H627" s="65">
        <v>545.80055843000002</v>
      </c>
      <c r="I627" s="47">
        <f t="shared" si="47"/>
        <v>6.1278185457891432E-3</v>
      </c>
      <c r="L627" s="65">
        <v>166.46525643999999</v>
      </c>
      <c r="M627" s="47">
        <f t="shared" si="48"/>
        <v>4.1196211967001961E-2</v>
      </c>
      <c r="P627" s="65">
        <v>1064.9421391599999</v>
      </c>
      <c r="Q627" s="47">
        <f t="shared" si="49"/>
        <v>-1.1319057668471189E-2</v>
      </c>
    </row>
    <row r="628" spans="1:17" ht="14.4" x14ac:dyDescent="0.3">
      <c r="A628" s="63">
        <v>45120</v>
      </c>
      <c r="B628" s="64">
        <v>16623.900390629999</v>
      </c>
      <c r="C628" s="47">
        <f t="shared" si="45"/>
        <v>-1.0306074325141523E-3</v>
      </c>
      <c r="D628" s="65">
        <v>585.45362173000001</v>
      </c>
      <c r="E628" s="47">
        <f t="shared" si="46"/>
        <v>2.5656393646284803E-2</v>
      </c>
      <c r="H628" s="65">
        <v>547.36485754</v>
      </c>
      <c r="I628" s="47">
        <f t="shared" si="47"/>
        <v>2.8660635938146939E-3</v>
      </c>
      <c r="L628" s="65">
        <v>163.78190717000001</v>
      </c>
      <c r="M628" s="47">
        <f t="shared" si="48"/>
        <v>-1.611957550413623E-2</v>
      </c>
      <c r="P628" s="65">
        <v>1093.94800244</v>
      </c>
      <c r="Q628" s="47">
        <f t="shared" si="49"/>
        <v>2.723703214794293E-2</v>
      </c>
    </row>
    <row r="629" spans="1:17" ht="14.4" x14ac:dyDescent="0.3">
      <c r="A629" s="63">
        <v>45121</v>
      </c>
      <c r="B629" s="64">
        <v>16765.44921875</v>
      </c>
      <c r="C629" s="47">
        <f t="shared" si="45"/>
        <v>8.5147784090300327E-3</v>
      </c>
      <c r="D629" s="65">
        <v>586.96188604999998</v>
      </c>
      <c r="E629" s="47">
        <f t="shared" si="46"/>
        <v>2.5762319405302492E-3</v>
      </c>
      <c r="H629" s="65">
        <v>552.10672781999995</v>
      </c>
      <c r="I629" s="47">
        <f t="shared" si="47"/>
        <v>8.6630886412970565E-3</v>
      </c>
      <c r="L629" s="65">
        <v>165.53826222000001</v>
      </c>
      <c r="M629" s="47">
        <f t="shared" si="48"/>
        <v>1.0723742813526727E-2</v>
      </c>
      <c r="P629" s="65">
        <v>1081.40373619</v>
      </c>
      <c r="Q629" s="47">
        <f t="shared" si="49"/>
        <v>-1.1466967554235263E-2</v>
      </c>
    </row>
    <row r="630" spans="1:17" ht="14.4" x14ac:dyDescent="0.3">
      <c r="A630" s="63">
        <v>45124</v>
      </c>
      <c r="B630" s="64">
        <v>16872.05078125</v>
      </c>
      <c r="C630" s="47">
        <f t="shared" si="45"/>
        <v>6.358407765225893E-3</v>
      </c>
      <c r="D630" s="65">
        <v>584.18857876000004</v>
      </c>
      <c r="E630" s="47">
        <f t="shared" si="46"/>
        <v>-4.72485072014317E-3</v>
      </c>
      <c r="H630" s="65">
        <v>550.05353023999999</v>
      </c>
      <c r="I630" s="47">
        <f t="shared" si="47"/>
        <v>-3.7188418045674965E-3</v>
      </c>
      <c r="L630" s="65">
        <v>171.88072423</v>
      </c>
      <c r="M630" s="47">
        <f t="shared" si="48"/>
        <v>3.8314175375182336E-2</v>
      </c>
      <c r="P630" s="65">
        <v>1133.8695780600001</v>
      </c>
      <c r="Q630" s="47">
        <f t="shared" si="49"/>
        <v>4.8516423713170775E-2</v>
      </c>
    </row>
    <row r="631" spans="1:17" ht="14.4" x14ac:dyDescent="0.3">
      <c r="A631" s="63">
        <v>45125</v>
      </c>
      <c r="B631" s="64">
        <v>16872</v>
      </c>
      <c r="C631" s="47">
        <f t="shared" si="45"/>
        <v>-3.0097852750099463E-6</v>
      </c>
      <c r="D631" s="65">
        <v>583.75073167000005</v>
      </c>
      <c r="E631" s="47">
        <f t="shared" si="46"/>
        <v>-7.4949614887942495E-4</v>
      </c>
      <c r="H631" s="65">
        <v>550.39575428000001</v>
      </c>
      <c r="I631" s="47">
        <f t="shared" si="47"/>
        <v>6.2216497338130061E-4</v>
      </c>
      <c r="L631" s="65">
        <v>168.56313804999999</v>
      </c>
      <c r="M631" s="47">
        <f t="shared" si="48"/>
        <v>-1.930167675789296E-2</v>
      </c>
      <c r="P631" s="65">
        <v>1123.7021202599999</v>
      </c>
      <c r="Q631" s="47">
        <f t="shared" si="49"/>
        <v>-8.9670434737266769E-3</v>
      </c>
    </row>
    <row r="632" spans="1:17" ht="14.4" x14ac:dyDescent="0.3">
      <c r="A632" s="63">
        <v>45126</v>
      </c>
      <c r="B632" s="64">
        <v>16953.5</v>
      </c>
      <c r="C632" s="47">
        <f t="shared" si="45"/>
        <v>4.8304883831200573E-3</v>
      </c>
      <c r="D632" s="65">
        <v>584.72381170000006</v>
      </c>
      <c r="E632" s="47">
        <f t="shared" si="46"/>
        <v>1.666944428859507E-3</v>
      </c>
      <c r="H632" s="65">
        <v>549.51580548000004</v>
      </c>
      <c r="I632" s="47">
        <f t="shared" si="47"/>
        <v>-1.5987565186637021E-3</v>
      </c>
      <c r="L632" s="65">
        <v>165.63584766</v>
      </c>
      <c r="M632" s="47">
        <f t="shared" si="48"/>
        <v>-1.7366136059543957E-2</v>
      </c>
      <c r="P632" s="65">
        <v>1124.1862852100001</v>
      </c>
      <c r="Q632" s="47">
        <f t="shared" si="49"/>
        <v>4.3086592191188267E-4</v>
      </c>
    </row>
    <row r="633" spans="1:17" ht="14.4" x14ac:dyDescent="0.3">
      <c r="A633" s="63">
        <v>45127</v>
      </c>
      <c r="B633" s="64">
        <v>17042.55078125</v>
      </c>
      <c r="C633" s="47">
        <f t="shared" si="45"/>
        <v>5.2526487893356233E-3</v>
      </c>
      <c r="D633" s="65">
        <v>584.04264594999995</v>
      </c>
      <c r="E633" s="47">
        <f t="shared" si="46"/>
        <v>-1.1649358831816725E-3</v>
      </c>
      <c r="H633" s="65">
        <v>551.61787823999998</v>
      </c>
      <c r="I633" s="47">
        <f t="shared" si="47"/>
        <v>3.8253181055707408E-3</v>
      </c>
      <c r="L633" s="65">
        <v>161.7327938</v>
      </c>
      <c r="M633" s="47">
        <f t="shared" si="48"/>
        <v>-2.3564064875689072E-2</v>
      </c>
      <c r="P633" s="65">
        <v>1117.36396474</v>
      </c>
      <c r="Q633" s="47">
        <f t="shared" si="49"/>
        <v>-6.0686743467303073E-3</v>
      </c>
    </row>
    <row r="634" spans="1:17" ht="14.4" x14ac:dyDescent="0.3">
      <c r="A634" s="63">
        <v>45128</v>
      </c>
      <c r="B634" s="64">
        <v>16904.30078125</v>
      </c>
      <c r="C634" s="47">
        <f t="shared" si="45"/>
        <v>-8.1120485879437876E-3</v>
      </c>
      <c r="D634" s="65">
        <v>604.33134518999998</v>
      </c>
      <c r="E634" s="47">
        <f t="shared" si="46"/>
        <v>3.4738386624145523E-2</v>
      </c>
      <c r="H634" s="65">
        <v>552.35115260999999</v>
      </c>
      <c r="I634" s="47">
        <f t="shared" si="47"/>
        <v>1.3293158161218344E-3</v>
      </c>
      <c r="L634" s="65">
        <v>165.34311932</v>
      </c>
      <c r="M634" s="47">
        <f t="shared" si="48"/>
        <v>2.232277966127616E-2</v>
      </c>
      <c r="P634" s="65">
        <v>1108.6049865099999</v>
      </c>
      <c r="Q634" s="47">
        <f t="shared" si="49"/>
        <v>-7.8389660901927449E-3</v>
      </c>
    </row>
    <row r="635" spans="1:17" ht="14.4" x14ac:dyDescent="0.3">
      <c r="A635" s="63">
        <v>45131</v>
      </c>
      <c r="B635" s="64">
        <v>16865.150390629999</v>
      </c>
      <c r="C635" s="47">
        <f t="shared" si="45"/>
        <v>-2.3160017753248718E-3</v>
      </c>
      <c r="D635" s="65">
        <v>619.99796291999996</v>
      </c>
      <c r="E635" s="47">
        <f t="shared" si="46"/>
        <v>2.5923887375185695E-2</v>
      </c>
      <c r="H635" s="65">
        <v>562.32369386000005</v>
      </c>
      <c r="I635" s="47">
        <f t="shared" si="47"/>
        <v>1.8054712482950874E-2</v>
      </c>
      <c r="L635" s="65">
        <v>164.66008418999999</v>
      </c>
      <c r="M635" s="47">
        <f t="shared" si="48"/>
        <v>-4.1310163544094891E-3</v>
      </c>
      <c r="P635" s="65">
        <v>1081.6238115399999</v>
      </c>
      <c r="Q635" s="47">
        <f t="shared" si="49"/>
        <v>-2.4337952019266473E-2</v>
      </c>
    </row>
    <row r="636" spans="1:17" ht="14.4" x14ac:dyDescent="0.3">
      <c r="A636" s="63">
        <v>45132</v>
      </c>
      <c r="B636" s="64">
        <v>16896.900390629999</v>
      </c>
      <c r="C636" s="47">
        <f t="shared" si="45"/>
        <v>1.8825803070003921E-3</v>
      </c>
      <c r="D636" s="65">
        <v>633.63660933999995</v>
      </c>
      <c r="E636" s="47">
        <f t="shared" si="46"/>
        <v>2.1997889082999711E-2</v>
      </c>
      <c r="H636" s="65">
        <v>581.43770273999996</v>
      </c>
      <c r="I636" s="47">
        <f t="shared" si="47"/>
        <v>3.3991114172682746E-2</v>
      </c>
      <c r="L636" s="65">
        <v>160.65944490000001</v>
      </c>
      <c r="M636" s="47">
        <f t="shared" si="48"/>
        <v>-2.429635153947618E-2</v>
      </c>
      <c r="P636" s="65">
        <v>1092.93565829</v>
      </c>
      <c r="Q636" s="47">
        <f t="shared" si="49"/>
        <v>1.045820795484742E-2</v>
      </c>
    </row>
    <row r="637" spans="1:17" ht="14.4" x14ac:dyDescent="0.3">
      <c r="A637" s="63">
        <v>45133</v>
      </c>
      <c r="B637" s="64">
        <v>16975</v>
      </c>
      <c r="C637" s="47">
        <f t="shared" si="45"/>
        <v>4.6221263997809903E-3</v>
      </c>
      <c r="D637" s="65">
        <v>659.44747136000001</v>
      </c>
      <c r="E637" s="47">
        <f t="shared" si="46"/>
        <v>4.0734486675075177E-2</v>
      </c>
      <c r="H637" s="65">
        <v>588.37934726000003</v>
      </c>
      <c r="I637" s="47">
        <f t="shared" si="47"/>
        <v>1.1938758851185449E-2</v>
      </c>
      <c r="L637" s="65">
        <v>165.83100055</v>
      </c>
      <c r="M637" s="47">
        <f t="shared" si="48"/>
        <v>3.2189552585712766E-2</v>
      </c>
      <c r="P637" s="65">
        <v>1121.1492517300001</v>
      </c>
      <c r="Q637" s="47">
        <f t="shared" si="49"/>
        <v>2.5814505388306985E-2</v>
      </c>
    </row>
    <row r="638" spans="1:17" ht="14.4" x14ac:dyDescent="0.3">
      <c r="A638" s="63">
        <v>45134</v>
      </c>
      <c r="B638" s="64">
        <v>16919.19921875</v>
      </c>
      <c r="C638" s="47">
        <f t="shared" si="45"/>
        <v>-3.2872330633284541E-3</v>
      </c>
      <c r="D638" s="65">
        <v>632.90334676999998</v>
      </c>
      <c r="E638" s="47">
        <f t="shared" si="46"/>
        <v>-4.0252068197724977E-2</v>
      </c>
      <c r="H638" s="65">
        <v>607.93333054000004</v>
      </c>
      <c r="I638" s="47">
        <f t="shared" si="47"/>
        <v>3.3233632980253613E-2</v>
      </c>
      <c r="L638" s="65">
        <v>168.36798515999999</v>
      </c>
      <c r="M638" s="47">
        <f t="shared" si="48"/>
        <v>1.5298614864444948E-2</v>
      </c>
      <c r="P638" s="65">
        <v>1092.27543326</v>
      </c>
      <c r="Q638" s="47">
        <f t="shared" si="49"/>
        <v>-2.5753768666790799E-2</v>
      </c>
    </row>
    <row r="639" spans="1:17" ht="14.4" x14ac:dyDescent="0.3">
      <c r="A639" s="63">
        <v>45135</v>
      </c>
      <c r="B639" s="64">
        <v>16948.349609379999</v>
      </c>
      <c r="C639" s="47">
        <f t="shared" si="45"/>
        <v>1.7229178670403744E-3</v>
      </c>
      <c r="D639" s="65">
        <v>620.58455514000002</v>
      </c>
      <c r="E639" s="47">
        <f t="shared" si="46"/>
        <v>-1.9463938202994968E-2</v>
      </c>
      <c r="H639" s="65">
        <v>609.64430407999998</v>
      </c>
      <c r="I639" s="47">
        <f t="shared" si="47"/>
        <v>2.8144098276041696E-3</v>
      </c>
      <c r="L639" s="65">
        <v>171.10013264</v>
      </c>
      <c r="M639" s="47">
        <f t="shared" si="48"/>
        <v>1.6227238672504418E-2</v>
      </c>
      <c r="P639" s="65">
        <v>1091.70139191</v>
      </c>
      <c r="Q639" s="47">
        <f t="shared" si="49"/>
        <v>-5.2554633430390574E-4</v>
      </c>
    </row>
    <row r="640" spans="1:17" ht="14.4" x14ac:dyDescent="0.3">
      <c r="A640" s="63">
        <v>45138</v>
      </c>
      <c r="B640" s="64">
        <v>17059</v>
      </c>
      <c r="C640" s="47">
        <f t="shared" si="45"/>
        <v>6.5286823301522467E-3</v>
      </c>
      <c r="D640" s="65">
        <v>619.70462050000003</v>
      </c>
      <c r="E640" s="47">
        <f t="shared" si="46"/>
        <v>-1.4179125676136994E-3</v>
      </c>
      <c r="H640" s="65">
        <v>619.95902048000005</v>
      </c>
      <c r="I640" s="47">
        <f t="shared" si="47"/>
        <v>1.6919236891035583E-2</v>
      </c>
      <c r="L640" s="65">
        <v>177.73530500999999</v>
      </c>
      <c r="M640" s="47">
        <f t="shared" si="48"/>
        <v>3.8779469469848893E-2</v>
      </c>
      <c r="P640" s="65">
        <v>1114.26578212</v>
      </c>
      <c r="Q640" s="47">
        <f t="shared" si="49"/>
        <v>2.0669012952820642E-2</v>
      </c>
    </row>
    <row r="641" spans="1:17" ht="14.4" x14ac:dyDescent="0.3">
      <c r="A641" s="63">
        <v>45139</v>
      </c>
      <c r="B641" s="64">
        <v>17051.150390629999</v>
      </c>
      <c r="C641" s="47">
        <f t="shared" si="45"/>
        <v>-4.6014475467504035E-4</v>
      </c>
      <c r="D641" s="65">
        <v>611.39431137999998</v>
      </c>
      <c r="E641" s="47">
        <f t="shared" si="46"/>
        <v>-1.3410113213767838E-2</v>
      </c>
      <c r="H641" s="65">
        <v>615.55937424000001</v>
      </c>
      <c r="I641" s="47">
        <f t="shared" si="47"/>
        <v>-7.0966726745803621E-3</v>
      </c>
      <c r="L641" s="65">
        <v>177.49136390000001</v>
      </c>
      <c r="M641" s="47">
        <f t="shared" si="48"/>
        <v>-1.3724966459885968E-3</v>
      </c>
      <c r="P641" s="65">
        <v>1117.7983676199999</v>
      </c>
      <c r="Q641" s="47">
        <f t="shared" si="49"/>
        <v>3.1703257487443182E-3</v>
      </c>
    </row>
    <row r="642" spans="1:17" ht="14.4" x14ac:dyDescent="0.3">
      <c r="A642" s="63">
        <v>45140</v>
      </c>
      <c r="B642" s="64">
        <v>16858.94921875</v>
      </c>
      <c r="C642" s="47">
        <f t="shared" si="45"/>
        <v>-1.12720354625232E-2</v>
      </c>
      <c r="D642" s="65">
        <v>619.70462050000003</v>
      </c>
      <c r="E642" s="47">
        <f t="shared" si="46"/>
        <v>1.3592388684877665E-2</v>
      </c>
      <c r="H642" s="65">
        <v>620.15457008999999</v>
      </c>
      <c r="I642" s="47">
        <f t="shared" si="47"/>
        <v>7.4650733012935344E-3</v>
      </c>
      <c r="L642" s="65">
        <v>167.58737457999999</v>
      </c>
      <c r="M642" s="47">
        <f t="shared" si="48"/>
        <v>-5.5799837819602294E-2</v>
      </c>
      <c r="P642" s="65">
        <v>1105.4343183599999</v>
      </c>
      <c r="Q642" s="47">
        <f t="shared" si="49"/>
        <v>-1.1061072925276583E-2</v>
      </c>
    </row>
    <row r="643" spans="1:17" ht="14.4" x14ac:dyDescent="0.3">
      <c r="A643" s="63">
        <v>45141</v>
      </c>
      <c r="B643" s="64">
        <v>16772.30078125</v>
      </c>
      <c r="C643" s="47">
        <f t="shared" si="45"/>
        <v>-5.1396108011069197E-3</v>
      </c>
      <c r="D643" s="65">
        <v>631.77904015000001</v>
      </c>
      <c r="E643" s="47">
        <f t="shared" si="46"/>
        <v>1.9484153015121741E-2</v>
      </c>
      <c r="H643" s="65">
        <v>616.63487266000004</v>
      </c>
      <c r="I643" s="47">
        <f t="shared" si="47"/>
        <v>-5.6755163950321652E-3</v>
      </c>
      <c r="L643" s="65">
        <v>168.95343384</v>
      </c>
      <c r="M643" s="47">
        <f t="shared" si="48"/>
        <v>8.1513256199852169E-3</v>
      </c>
      <c r="P643" s="65">
        <v>1103.6238679799999</v>
      </c>
      <c r="Q643" s="47">
        <f t="shared" si="49"/>
        <v>-1.6377729096432869E-3</v>
      </c>
    </row>
    <row r="644" spans="1:17" ht="14.4" x14ac:dyDescent="0.3">
      <c r="A644" s="63">
        <v>45142</v>
      </c>
      <c r="B644" s="64">
        <v>16890.599609379999</v>
      </c>
      <c r="C644" s="47">
        <f t="shared" ref="C644:C707" si="50">B644/B643-1</f>
        <v>7.0532260107238898E-3</v>
      </c>
      <c r="D644" s="65">
        <v>643.56011566999996</v>
      </c>
      <c r="E644" s="47">
        <f t="shared" ref="E644:E707" si="51">D644/D643-1</f>
        <v>1.8647461804371934E-2</v>
      </c>
      <c r="H644" s="65">
        <v>592.68124312999998</v>
      </c>
      <c r="I644" s="47">
        <f t="shared" ref="I644:I707" si="52">H644/H643-1</f>
        <v>-3.8845726364242772E-2</v>
      </c>
      <c r="L644" s="65">
        <v>164.22099119000001</v>
      </c>
      <c r="M644" s="47">
        <f t="shared" ref="M644:M707" si="53">L644/L643-1</f>
        <v>-2.8010337182502343E-2</v>
      </c>
      <c r="P644" s="65">
        <v>1100.26791196</v>
      </c>
      <c r="Q644" s="47">
        <f t="shared" ref="Q644:Q707" si="54">P644/P643-1</f>
        <v>-3.0408512513800945E-3</v>
      </c>
    </row>
    <row r="645" spans="1:17" ht="14.4" x14ac:dyDescent="0.3">
      <c r="A645" s="63">
        <v>45145</v>
      </c>
      <c r="B645" s="64">
        <v>16956.349609379999</v>
      </c>
      <c r="C645" s="47">
        <f t="shared" si="50"/>
        <v>3.8926978035453974E-3</v>
      </c>
      <c r="D645" s="65">
        <v>633.00114443999996</v>
      </c>
      <c r="E645" s="47">
        <f t="shared" si="51"/>
        <v>-1.640712494901464E-2</v>
      </c>
      <c r="H645" s="65">
        <v>618.98132132000001</v>
      </c>
      <c r="I645" s="47">
        <f t="shared" si="52"/>
        <v>4.4374743582413778E-2</v>
      </c>
      <c r="L645" s="65">
        <v>166.367671</v>
      </c>
      <c r="M645" s="47">
        <f t="shared" si="53"/>
        <v>1.307189656111829E-2</v>
      </c>
      <c r="P645" s="65">
        <v>1095.7197082299999</v>
      </c>
      <c r="Q645" s="47">
        <f t="shared" si="54"/>
        <v>-4.1337238690328793E-3</v>
      </c>
    </row>
    <row r="646" spans="1:17" ht="14.4" x14ac:dyDescent="0.3">
      <c r="A646" s="63">
        <v>45146</v>
      </c>
      <c r="B646" s="64">
        <v>16949.25</v>
      </c>
      <c r="C646" s="47">
        <f t="shared" si="50"/>
        <v>-4.186991624701708E-4</v>
      </c>
      <c r="D646" s="65">
        <v>619.26470207</v>
      </c>
      <c r="E646" s="47">
        <f t="shared" si="51"/>
        <v>-2.1700501635194103E-2</v>
      </c>
      <c r="H646" s="65">
        <v>610.08427847999997</v>
      </c>
      <c r="I646" s="47">
        <f t="shared" si="52"/>
        <v>-1.437368549510798E-2</v>
      </c>
      <c r="L646" s="65">
        <v>183.83382691</v>
      </c>
      <c r="M646" s="47">
        <f t="shared" si="53"/>
        <v>0.10498527631609389</v>
      </c>
      <c r="P646" s="65">
        <v>1090.1558862700001</v>
      </c>
      <c r="Q646" s="47">
        <f t="shared" si="54"/>
        <v>-5.0777784849626029E-3</v>
      </c>
    </row>
    <row r="647" spans="1:17" ht="14.4" x14ac:dyDescent="0.3">
      <c r="A647" s="63">
        <v>45147</v>
      </c>
      <c r="B647" s="64">
        <v>17003.849609379999</v>
      </c>
      <c r="C647" s="47">
        <f t="shared" si="50"/>
        <v>3.2213584306088894E-3</v>
      </c>
      <c r="D647" s="65">
        <v>616.23385412000005</v>
      </c>
      <c r="E647" s="47">
        <f t="shared" si="51"/>
        <v>-4.894268864136464E-3</v>
      </c>
      <c r="H647" s="65">
        <v>624.84751630000005</v>
      </c>
      <c r="I647" s="47">
        <f t="shared" si="52"/>
        <v>2.4198685887762972E-2</v>
      </c>
      <c r="L647" s="65">
        <v>191.24963882</v>
      </c>
      <c r="M647" s="47">
        <f t="shared" si="53"/>
        <v>4.0339757022142431E-2</v>
      </c>
      <c r="P647" s="65">
        <v>1101.01858649</v>
      </c>
      <c r="Q647" s="47">
        <f t="shared" si="54"/>
        <v>9.9643549668542164E-3</v>
      </c>
    </row>
    <row r="648" spans="1:17" ht="14.4" x14ac:dyDescent="0.3">
      <c r="A648" s="63">
        <v>45148</v>
      </c>
      <c r="B648" s="64">
        <v>16939.849609379999</v>
      </c>
      <c r="C648" s="47">
        <f t="shared" si="50"/>
        <v>-3.7638535667061657E-3</v>
      </c>
      <c r="D648" s="65">
        <v>621.46448978000001</v>
      </c>
      <c r="E648" s="47">
        <f t="shared" si="51"/>
        <v>8.4880693019850906E-3</v>
      </c>
      <c r="H648" s="65">
        <v>630.51821056999995</v>
      </c>
      <c r="I648" s="47">
        <f t="shared" si="52"/>
        <v>9.0753249746091669E-3</v>
      </c>
      <c r="L648" s="65">
        <v>186.46840793999999</v>
      </c>
      <c r="M648" s="47">
        <f t="shared" si="53"/>
        <v>-2.4999947239116138E-2</v>
      </c>
      <c r="P648" s="65">
        <v>1077.4827356799999</v>
      </c>
      <c r="Q648" s="47">
        <f t="shared" si="54"/>
        <v>-2.1376433694031749E-2</v>
      </c>
    </row>
    <row r="649" spans="1:17" ht="14.4" x14ac:dyDescent="0.3">
      <c r="A649" s="63">
        <v>45149</v>
      </c>
      <c r="B649" s="64">
        <v>16860.150390629999</v>
      </c>
      <c r="C649" s="47">
        <f t="shared" si="50"/>
        <v>-4.7048362640639274E-3</v>
      </c>
      <c r="D649" s="65">
        <v>609.43894451999995</v>
      </c>
      <c r="E649" s="47">
        <f t="shared" si="51"/>
        <v>-1.9350333700091427E-2</v>
      </c>
      <c r="H649" s="65">
        <v>627.24288903000001</v>
      </c>
      <c r="I649" s="47">
        <f t="shared" si="52"/>
        <v>-5.1946501862951688E-3</v>
      </c>
      <c r="L649" s="65">
        <v>165.14796643</v>
      </c>
      <c r="M649" s="47">
        <f t="shared" si="53"/>
        <v>-0.11433808946800406</v>
      </c>
      <c r="P649" s="65">
        <v>1045.86609565</v>
      </c>
      <c r="Q649" s="47">
        <f t="shared" si="54"/>
        <v>-2.9343059506235725E-2</v>
      </c>
    </row>
    <row r="650" spans="1:17" ht="14.4" x14ac:dyDescent="0.3">
      <c r="A650" s="63">
        <v>45152</v>
      </c>
      <c r="B650" s="64">
        <v>16825.55078125</v>
      </c>
      <c r="C650" s="47">
        <f t="shared" si="50"/>
        <v>-2.0521530697156232E-3</v>
      </c>
      <c r="D650" s="65">
        <v>600.34649843</v>
      </c>
      <c r="E650" s="47">
        <f t="shared" si="51"/>
        <v>-1.4919371615086496E-2</v>
      </c>
      <c r="H650" s="65">
        <v>627.92728823000004</v>
      </c>
      <c r="I650" s="47">
        <f t="shared" si="52"/>
        <v>1.0911230911814229E-3</v>
      </c>
      <c r="L650" s="65">
        <v>198.1775695</v>
      </c>
      <c r="M650" s="47">
        <f t="shared" si="53"/>
        <v>0.20000005924384179</v>
      </c>
      <c r="P650" s="65">
        <v>1035.31249574</v>
      </c>
      <c r="Q650" s="47">
        <f t="shared" si="54"/>
        <v>-1.0090775438552635E-2</v>
      </c>
    </row>
    <row r="651" spans="1:17" ht="14.4" x14ac:dyDescent="0.3">
      <c r="A651" s="63">
        <v>45154</v>
      </c>
      <c r="B651" s="64">
        <v>16853.05078125</v>
      </c>
      <c r="C651" s="47">
        <f t="shared" si="50"/>
        <v>1.6344190069930153E-3</v>
      </c>
      <c r="D651" s="65">
        <v>632.17008420000002</v>
      </c>
      <c r="E651" s="47">
        <f t="shared" si="51"/>
        <v>5.3008697232720836E-2</v>
      </c>
      <c r="H651" s="65">
        <v>623.72319159999995</v>
      </c>
      <c r="I651" s="47">
        <f t="shared" si="52"/>
        <v>-6.6951965757859888E-3</v>
      </c>
      <c r="L651" s="65">
        <v>190.32266358000001</v>
      </c>
      <c r="M651" s="47">
        <f t="shared" si="53"/>
        <v>-3.9635696107374052E-2</v>
      </c>
      <c r="P651" s="65">
        <v>1021.04968188</v>
      </c>
      <c r="Q651" s="47">
        <f t="shared" si="54"/>
        <v>-1.3776337017748053E-2</v>
      </c>
    </row>
    <row r="652" spans="1:17" ht="14.4" x14ac:dyDescent="0.3">
      <c r="A652" s="63">
        <v>45155</v>
      </c>
      <c r="B652" s="64">
        <v>16802.25</v>
      </c>
      <c r="C652" s="47">
        <f t="shared" si="50"/>
        <v>-3.0143373985747068E-3</v>
      </c>
      <c r="D652" s="65">
        <v>624.20199360000004</v>
      </c>
      <c r="E652" s="47">
        <f t="shared" si="51"/>
        <v>-1.2604346202309546E-2</v>
      </c>
      <c r="H652" s="65">
        <v>622.01221806000001</v>
      </c>
      <c r="I652" s="47">
        <f t="shared" si="52"/>
        <v>-2.7431616509414614E-3</v>
      </c>
      <c r="L652" s="65">
        <v>192.90843641000001</v>
      </c>
      <c r="M652" s="47">
        <f t="shared" si="53"/>
        <v>1.3586258101695226E-2</v>
      </c>
      <c r="P652" s="65">
        <v>1014.69102777</v>
      </c>
      <c r="Q652" s="47">
        <f t="shared" si="54"/>
        <v>-6.2275658303836412E-3</v>
      </c>
    </row>
    <row r="653" spans="1:17" ht="14.4" x14ac:dyDescent="0.3">
      <c r="A653" s="63">
        <v>45156</v>
      </c>
      <c r="B653" s="64">
        <v>16757.69921875</v>
      </c>
      <c r="C653" s="47">
        <f t="shared" si="50"/>
        <v>-2.6514771087206013E-3</v>
      </c>
      <c r="D653" s="65">
        <v>610.46555122999996</v>
      </c>
      <c r="E653" s="47">
        <f t="shared" si="51"/>
        <v>-2.2006405796266337E-2</v>
      </c>
      <c r="H653" s="65">
        <v>622.64769319000004</v>
      </c>
      <c r="I653" s="47">
        <f t="shared" si="52"/>
        <v>1.0216441277985933E-3</v>
      </c>
      <c r="L653" s="65">
        <v>190.90811227</v>
      </c>
      <c r="M653" s="47">
        <f t="shared" si="53"/>
        <v>-1.036929321094382E-2</v>
      </c>
      <c r="P653" s="65">
        <v>1001.09057421</v>
      </c>
      <c r="Q653" s="47">
        <f t="shared" si="54"/>
        <v>-1.3403541755848458E-2</v>
      </c>
    </row>
    <row r="654" spans="1:17" ht="14.4" x14ac:dyDescent="0.3">
      <c r="A654" s="63">
        <v>45159</v>
      </c>
      <c r="B654" s="64">
        <v>16852.05078125</v>
      </c>
      <c r="C654" s="47">
        <f t="shared" si="50"/>
        <v>5.6303410908837837E-3</v>
      </c>
      <c r="D654" s="65">
        <v>637.64514071999997</v>
      </c>
      <c r="E654" s="47">
        <f t="shared" si="51"/>
        <v>4.4522724394909785E-2</v>
      </c>
      <c r="H654" s="65">
        <v>624.21204118000003</v>
      </c>
      <c r="I654" s="47">
        <f t="shared" si="52"/>
        <v>2.5124127289148923E-3</v>
      </c>
      <c r="L654" s="65">
        <v>193.5426923</v>
      </c>
      <c r="M654" s="47">
        <f t="shared" si="53"/>
        <v>1.3800251852440493E-2</v>
      </c>
      <c r="P654" s="65">
        <v>972.30000174999998</v>
      </c>
      <c r="Q654" s="47">
        <f t="shared" si="54"/>
        <v>-2.875920840900914E-2</v>
      </c>
    </row>
    <row r="655" spans="1:17" ht="14.4" x14ac:dyDescent="0.3">
      <c r="A655" s="63">
        <v>45160</v>
      </c>
      <c r="B655" s="64">
        <v>16905.25</v>
      </c>
      <c r="C655" s="47">
        <f t="shared" si="50"/>
        <v>3.1568394518006748E-3</v>
      </c>
      <c r="D655" s="65">
        <v>648.83962572999997</v>
      </c>
      <c r="E655" s="47">
        <f t="shared" si="51"/>
        <v>1.7555979486269857E-2</v>
      </c>
      <c r="H655" s="65">
        <v>620.25236933999997</v>
      </c>
      <c r="I655" s="47">
        <f t="shared" si="52"/>
        <v>-6.3434723760130707E-3</v>
      </c>
      <c r="L655" s="65">
        <v>195.88451502000001</v>
      </c>
      <c r="M655" s="47">
        <f t="shared" si="53"/>
        <v>1.2099773399711022E-2</v>
      </c>
      <c r="P655" s="65">
        <v>1005.10888949</v>
      </c>
      <c r="Q655" s="47">
        <f t="shared" si="54"/>
        <v>3.374358498503427E-2</v>
      </c>
    </row>
    <row r="656" spans="1:17" ht="14.4" x14ac:dyDescent="0.3">
      <c r="A656" s="63">
        <v>45161</v>
      </c>
      <c r="B656" s="64">
        <v>16950.25</v>
      </c>
      <c r="C656" s="47">
        <f t="shared" si="50"/>
        <v>2.6618949734549258E-3</v>
      </c>
      <c r="D656" s="65">
        <v>634.36987191000003</v>
      </c>
      <c r="E656" s="47">
        <f t="shared" si="51"/>
        <v>-2.2300971220307719E-2</v>
      </c>
      <c r="H656" s="65">
        <v>621.23006851000002</v>
      </c>
      <c r="I656" s="47">
        <f t="shared" si="52"/>
        <v>1.5762925195117461E-3</v>
      </c>
      <c r="L656" s="65">
        <v>193.78663341999999</v>
      </c>
      <c r="M656" s="47">
        <f t="shared" si="53"/>
        <v>-1.0709787855287201E-2</v>
      </c>
      <c r="P656" s="65">
        <v>1003.34259674</v>
      </c>
      <c r="Q656" s="47">
        <f t="shared" si="54"/>
        <v>-1.7573148227714164E-3</v>
      </c>
    </row>
    <row r="657" spans="1:17" ht="14.4" x14ac:dyDescent="0.3">
      <c r="A657" s="63">
        <v>45162</v>
      </c>
      <c r="B657" s="64">
        <v>16930.150390629999</v>
      </c>
      <c r="C657" s="47">
        <f t="shared" si="50"/>
        <v>-1.1858001722688805E-3</v>
      </c>
      <c r="D657" s="65">
        <v>642.43576017999999</v>
      </c>
      <c r="E657" s="47">
        <f t="shared" si="51"/>
        <v>1.2714803503695249E-2</v>
      </c>
      <c r="H657" s="65">
        <v>619.07912056999999</v>
      </c>
      <c r="I657" s="47">
        <f t="shared" si="52"/>
        <v>-3.4624015304973721E-3</v>
      </c>
      <c r="L657" s="65">
        <v>195.39663379000001</v>
      </c>
      <c r="M657" s="47">
        <f t="shared" si="53"/>
        <v>8.3081084674743177E-3</v>
      </c>
      <c r="P657" s="65">
        <v>990.93439089000003</v>
      </c>
      <c r="Q657" s="47">
        <f t="shared" si="54"/>
        <v>-1.2366868396015418E-2</v>
      </c>
    </row>
    <row r="658" spans="1:17" ht="14.4" x14ac:dyDescent="0.3">
      <c r="A658" s="63">
        <v>45163</v>
      </c>
      <c r="B658" s="64">
        <v>16820.849609379999</v>
      </c>
      <c r="C658" s="47">
        <f t="shared" si="50"/>
        <v>-6.4559840714996097E-3</v>
      </c>
      <c r="D658" s="65">
        <v>636.42303643000002</v>
      </c>
      <c r="E658" s="47">
        <f t="shared" si="51"/>
        <v>-9.3592606805003031E-3</v>
      </c>
      <c r="H658" s="65">
        <v>609.93760405</v>
      </c>
      <c r="I658" s="47">
        <f t="shared" si="52"/>
        <v>-1.4766313733183489E-2</v>
      </c>
      <c r="L658" s="65">
        <v>187.98082188000001</v>
      </c>
      <c r="M658" s="47">
        <f t="shared" si="53"/>
        <v>-3.7952608323693293E-2</v>
      </c>
      <c r="P658" s="65">
        <v>998.30866322999998</v>
      </c>
      <c r="Q658" s="47">
        <f t="shared" si="54"/>
        <v>7.4417362115939412E-3</v>
      </c>
    </row>
    <row r="659" spans="1:17" ht="14.4" x14ac:dyDescent="0.3">
      <c r="A659" s="63">
        <v>45166</v>
      </c>
      <c r="B659" s="64">
        <v>16875.30078125</v>
      </c>
      <c r="C659" s="47">
        <f t="shared" si="50"/>
        <v>3.237123756200555E-3</v>
      </c>
      <c r="D659" s="65">
        <v>639.20941463999998</v>
      </c>
      <c r="E659" s="47">
        <f t="shared" si="51"/>
        <v>4.378185657184952E-3</v>
      </c>
      <c r="H659" s="65">
        <v>621.27894369000001</v>
      </c>
      <c r="I659" s="47">
        <f t="shared" si="52"/>
        <v>1.8594262043679866E-2</v>
      </c>
      <c r="L659" s="65">
        <v>205.05668198999999</v>
      </c>
      <c r="M659" s="47">
        <f t="shared" si="53"/>
        <v>9.0838309670230988E-2</v>
      </c>
      <c r="P659" s="65">
        <v>1002.32697851</v>
      </c>
      <c r="Q659" s="47">
        <f t="shared" si="54"/>
        <v>4.025123118734486E-3</v>
      </c>
    </row>
    <row r="660" spans="1:17" ht="14.4" x14ac:dyDescent="0.3">
      <c r="A660" s="63">
        <v>45167</v>
      </c>
      <c r="B660" s="64">
        <v>16927.30078125</v>
      </c>
      <c r="C660" s="47">
        <f t="shared" si="50"/>
        <v>3.0814265579062194E-3</v>
      </c>
      <c r="D660" s="65">
        <v>660.37628039000003</v>
      </c>
      <c r="E660" s="47">
        <f t="shared" si="51"/>
        <v>3.3114133279656288E-2</v>
      </c>
      <c r="H660" s="65">
        <v>632.13138486000003</v>
      </c>
      <c r="I660" s="47">
        <f t="shared" si="52"/>
        <v>1.7467904361193165E-2</v>
      </c>
      <c r="L660" s="65">
        <v>206.52032768000001</v>
      </c>
      <c r="M660" s="47">
        <f t="shared" si="53"/>
        <v>7.1377614998735517E-3</v>
      </c>
      <c r="P660" s="65">
        <v>994.99686380000003</v>
      </c>
      <c r="Q660" s="47">
        <f t="shared" si="54"/>
        <v>-7.3130972897651469E-3</v>
      </c>
    </row>
    <row r="661" spans="1:17" ht="14.4" x14ac:dyDescent="0.3">
      <c r="A661" s="63">
        <v>45168</v>
      </c>
      <c r="B661" s="64">
        <v>16968.94921875</v>
      </c>
      <c r="C661" s="47">
        <f t="shared" si="50"/>
        <v>2.4604299314001654E-3</v>
      </c>
      <c r="D661" s="65">
        <v>645.90657544999999</v>
      </c>
      <c r="E661" s="47">
        <f t="shared" si="51"/>
        <v>-2.19113032519197E-2</v>
      </c>
      <c r="H661" s="65">
        <v>627.43843863999996</v>
      </c>
      <c r="I661" s="47">
        <f t="shared" si="52"/>
        <v>-7.4240044591986631E-3</v>
      </c>
      <c r="L661" s="65">
        <v>219.79072037</v>
      </c>
      <c r="M661" s="47">
        <f t="shared" si="53"/>
        <v>6.4257077446449928E-2</v>
      </c>
      <c r="P661" s="65">
        <v>1001.66461925</v>
      </c>
      <c r="Q661" s="47">
        <f t="shared" si="54"/>
        <v>6.7012828809682734E-3</v>
      </c>
    </row>
    <row r="662" spans="1:17" ht="14.4" x14ac:dyDescent="0.3">
      <c r="A662" s="63">
        <v>45169</v>
      </c>
      <c r="B662" s="64">
        <v>16924.30078125</v>
      </c>
      <c r="C662" s="47">
        <f t="shared" si="50"/>
        <v>-2.6311845786340937E-3</v>
      </c>
      <c r="D662" s="65">
        <v>656.46554667999999</v>
      </c>
      <c r="E662" s="47">
        <f t="shared" si="51"/>
        <v>1.6347520882015409E-2</v>
      </c>
      <c r="H662" s="65">
        <v>645.72142279000002</v>
      </c>
      <c r="I662" s="47">
        <f t="shared" si="52"/>
        <v>2.9139088433327798E-2</v>
      </c>
      <c r="L662" s="65">
        <v>212.37490846</v>
      </c>
      <c r="M662" s="47">
        <f t="shared" si="53"/>
        <v>-3.3740332155589137E-2</v>
      </c>
      <c r="P662" s="65">
        <v>1025.5095713799999</v>
      </c>
      <c r="Q662" s="47">
        <f t="shared" si="54"/>
        <v>2.3805325327207694E-2</v>
      </c>
    </row>
    <row r="663" spans="1:17" ht="14.4" x14ac:dyDescent="0.3">
      <c r="A663" s="63">
        <v>45170</v>
      </c>
      <c r="B663" s="64">
        <v>17074.55078125</v>
      </c>
      <c r="C663" s="47">
        <f t="shared" si="50"/>
        <v>8.8777670606314807E-3</v>
      </c>
      <c r="D663" s="65">
        <v>654.99902153999994</v>
      </c>
      <c r="E663" s="47">
        <f t="shared" si="51"/>
        <v>-2.2339712227348318E-3</v>
      </c>
      <c r="H663" s="65">
        <v>641.46840210000005</v>
      </c>
      <c r="I663" s="47">
        <f t="shared" si="52"/>
        <v>-6.5864636666749243E-3</v>
      </c>
      <c r="L663" s="65">
        <v>235.89081701999999</v>
      </c>
      <c r="M663" s="47">
        <f t="shared" si="53"/>
        <v>0.11072828108801325</v>
      </c>
      <c r="P663" s="65">
        <v>1039.9931713200001</v>
      </c>
      <c r="Q663" s="47">
        <f t="shared" si="54"/>
        <v>1.4123320097841674E-2</v>
      </c>
    </row>
    <row r="664" spans="1:17" ht="14.4" x14ac:dyDescent="0.3">
      <c r="A664" s="63">
        <v>45173</v>
      </c>
      <c r="B664" s="64">
        <v>17180.94921875</v>
      </c>
      <c r="C664" s="47">
        <f t="shared" si="50"/>
        <v>6.2314047885136947E-3</v>
      </c>
      <c r="D664" s="65">
        <v>662.5271937</v>
      </c>
      <c r="E664" s="47">
        <f t="shared" si="51"/>
        <v>1.149340977991109E-2</v>
      </c>
      <c r="H664" s="65">
        <v>665.61758123000004</v>
      </c>
      <c r="I664" s="47">
        <f t="shared" si="52"/>
        <v>3.764671658173957E-2</v>
      </c>
      <c r="L664" s="65">
        <v>238.03749683999999</v>
      </c>
      <c r="M664" s="47">
        <f t="shared" si="53"/>
        <v>9.1003110978160606E-3</v>
      </c>
      <c r="P664" s="65">
        <v>1044.5855326799999</v>
      </c>
      <c r="Q664" s="47">
        <f t="shared" si="54"/>
        <v>4.4157610709798512E-3</v>
      </c>
    </row>
    <row r="665" spans="1:17" ht="14.4" x14ac:dyDescent="0.3">
      <c r="A665" s="63">
        <v>45174</v>
      </c>
      <c r="B665" s="64">
        <v>17252.099609379999</v>
      </c>
      <c r="C665" s="47">
        <f t="shared" si="50"/>
        <v>4.1412374673892582E-3</v>
      </c>
      <c r="D665" s="65">
        <v>645.02664081</v>
      </c>
      <c r="E665" s="47">
        <f t="shared" si="51"/>
        <v>-2.6414844637946189E-2</v>
      </c>
      <c r="H665" s="65">
        <v>667.18192922000003</v>
      </c>
      <c r="I665" s="47">
        <f t="shared" si="52"/>
        <v>2.3502203579257586E-3</v>
      </c>
      <c r="L665" s="65">
        <v>233.74413720000001</v>
      </c>
      <c r="M665" s="47">
        <f t="shared" si="53"/>
        <v>-1.8036484574889489E-2</v>
      </c>
      <c r="P665" s="65">
        <v>1036.0631702600001</v>
      </c>
      <c r="Q665" s="47">
        <f t="shared" si="54"/>
        <v>-8.1586065988629164E-3</v>
      </c>
    </row>
    <row r="666" spans="1:17" ht="14.4" x14ac:dyDescent="0.3">
      <c r="A666" s="63">
        <v>45175</v>
      </c>
      <c r="B666" s="64">
        <v>17284.599609379999</v>
      </c>
      <c r="C666" s="47">
        <f t="shared" si="50"/>
        <v>1.8838286780080704E-3</v>
      </c>
      <c r="D666" s="65">
        <v>661.59838466999997</v>
      </c>
      <c r="E666" s="47">
        <f t="shared" si="51"/>
        <v>2.5691564985889315E-2</v>
      </c>
      <c r="H666" s="65">
        <v>655.54728962000002</v>
      </c>
      <c r="I666" s="47">
        <f t="shared" si="52"/>
        <v>-1.7438481305394493E-2</v>
      </c>
      <c r="L666" s="65">
        <v>226.23076882000001</v>
      </c>
      <c r="M666" s="47">
        <f t="shared" si="53"/>
        <v>-3.2143558636387515E-2</v>
      </c>
      <c r="P666" s="65">
        <v>1060.1730660999999</v>
      </c>
      <c r="Q666" s="47">
        <f t="shared" si="54"/>
        <v>2.3270681298273921E-2</v>
      </c>
    </row>
    <row r="667" spans="1:17" ht="14.4" x14ac:dyDescent="0.3">
      <c r="A667" s="63">
        <v>45176</v>
      </c>
      <c r="B667" s="64">
        <v>17385.5</v>
      </c>
      <c r="C667" s="47">
        <f t="shared" si="50"/>
        <v>5.8375891198108043E-3</v>
      </c>
      <c r="D667" s="65">
        <v>660.62070124000002</v>
      </c>
      <c r="E667" s="47">
        <f t="shared" si="51"/>
        <v>-1.47775969931907E-3</v>
      </c>
      <c r="H667" s="65">
        <v>655.88946477000002</v>
      </c>
      <c r="I667" s="47">
        <f t="shared" si="52"/>
        <v>5.2196867475173825E-4</v>
      </c>
      <c r="L667" s="65">
        <v>222.96195187999999</v>
      </c>
      <c r="M667" s="47">
        <f t="shared" si="53"/>
        <v>-1.4449037843304313E-2</v>
      </c>
      <c r="P667" s="65">
        <v>1050.98834442</v>
      </c>
      <c r="Q667" s="47">
        <f t="shared" si="54"/>
        <v>-8.6634172982598123E-3</v>
      </c>
    </row>
    <row r="668" spans="1:17" ht="14.4" x14ac:dyDescent="0.3">
      <c r="A668" s="63">
        <v>45177</v>
      </c>
      <c r="B668" s="64">
        <v>17487.44921875</v>
      </c>
      <c r="C668" s="47">
        <f t="shared" si="50"/>
        <v>5.8640372005407393E-3</v>
      </c>
      <c r="D668" s="65">
        <v>661.74500784999998</v>
      </c>
      <c r="E668" s="47">
        <f t="shared" si="51"/>
        <v>1.7018943062026004E-3</v>
      </c>
      <c r="H668" s="65">
        <v>648.01899627</v>
      </c>
      <c r="I668" s="47">
        <f t="shared" si="52"/>
        <v>-1.1999687329571573E-2</v>
      </c>
      <c r="L668" s="65">
        <v>219.69313394</v>
      </c>
      <c r="M668" s="47">
        <f t="shared" si="53"/>
        <v>-1.466087784232939E-2</v>
      </c>
      <c r="P668" s="65">
        <v>1047.4116012899999</v>
      </c>
      <c r="Q668" s="47">
        <f t="shared" si="54"/>
        <v>-3.4032186455634772E-3</v>
      </c>
    </row>
    <row r="669" spans="1:17" ht="14.4" x14ac:dyDescent="0.3">
      <c r="A669" s="63">
        <v>45180</v>
      </c>
      <c r="B669" s="64">
        <v>17653.349609379999</v>
      </c>
      <c r="C669" s="47">
        <f t="shared" si="50"/>
        <v>9.4868261548470834E-3</v>
      </c>
      <c r="D669" s="65">
        <v>667.70890609000003</v>
      </c>
      <c r="E669" s="47">
        <f t="shared" si="51"/>
        <v>9.0123811577764723E-3</v>
      </c>
      <c r="H669" s="65">
        <v>654.96068966999997</v>
      </c>
      <c r="I669" s="47">
        <f t="shared" si="52"/>
        <v>1.0712175784902023E-2</v>
      </c>
      <c r="L669" s="65">
        <v>219.15648346</v>
      </c>
      <c r="M669" s="47">
        <f t="shared" si="53"/>
        <v>-2.4427275917806579E-3</v>
      </c>
      <c r="P669" s="65">
        <v>1033.2812592800001</v>
      </c>
      <c r="Q669" s="47">
        <f t="shared" si="54"/>
        <v>-1.349072512906746E-2</v>
      </c>
    </row>
    <row r="670" spans="1:17" ht="14.4" x14ac:dyDescent="0.3">
      <c r="A670" s="63">
        <v>45181</v>
      </c>
      <c r="B670" s="64">
        <v>17460.55078125</v>
      </c>
      <c r="C670" s="47">
        <f t="shared" si="50"/>
        <v>-1.0921373699388837E-2</v>
      </c>
      <c r="D670" s="65">
        <v>650.40389965999998</v>
      </c>
      <c r="E670" s="47">
        <f t="shared" si="51"/>
        <v>-2.5916992078682144E-2</v>
      </c>
      <c r="H670" s="65">
        <v>624.89644037000005</v>
      </c>
      <c r="I670" s="47">
        <f t="shared" si="52"/>
        <v>-4.5902372118161283E-2</v>
      </c>
      <c r="L670" s="65">
        <v>208.9552046</v>
      </c>
      <c r="M670" s="47">
        <f t="shared" si="53"/>
        <v>-4.6547921827108207E-2</v>
      </c>
      <c r="P670" s="65">
        <v>999.81001123999999</v>
      </c>
      <c r="Q670" s="47">
        <f t="shared" si="54"/>
        <v>-3.2393162790277596E-2</v>
      </c>
    </row>
    <row r="671" spans="1:17" ht="14.4" x14ac:dyDescent="0.3">
      <c r="A671" s="63">
        <v>45182</v>
      </c>
      <c r="B671" s="64">
        <v>17526.75</v>
      </c>
      <c r="C671" s="47">
        <f t="shared" si="50"/>
        <v>3.7913591374842959E-3</v>
      </c>
      <c r="D671" s="65">
        <v>667.90445254999997</v>
      </c>
      <c r="E671" s="47">
        <f t="shared" si="51"/>
        <v>2.6907207812173928E-2</v>
      </c>
      <c r="H671" s="65">
        <v>632.57135926000001</v>
      </c>
      <c r="I671" s="47">
        <f t="shared" si="52"/>
        <v>1.2281905279306171E-2</v>
      </c>
      <c r="L671" s="65">
        <v>217.00883922</v>
      </c>
      <c r="M671" s="47">
        <f t="shared" si="53"/>
        <v>3.8542397809219198E-2</v>
      </c>
      <c r="P671" s="65">
        <v>1020.8730524</v>
      </c>
      <c r="Q671" s="47">
        <f t="shared" si="54"/>
        <v>2.1067043661502138E-2</v>
      </c>
    </row>
    <row r="672" spans="1:17" ht="14.4" x14ac:dyDescent="0.3">
      <c r="A672" s="63">
        <v>45183</v>
      </c>
      <c r="B672" s="64">
        <v>17603.5</v>
      </c>
      <c r="C672" s="47">
        <f t="shared" si="50"/>
        <v>4.3790206398790499E-3</v>
      </c>
      <c r="D672" s="65">
        <v>659.10530171000005</v>
      </c>
      <c r="E672" s="47">
        <f t="shared" si="51"/>
        <v>-1.3174265879506541E-2</v>
      </c>
      <c r="H672" s="65">
        <v>641.66395170999999</v>
      </c>
      <c r="I672" s="47">
        <f t="shared" si="52"/>
        <v>1.4374018546519096E-2</v>
      </c>
      <c r="L672" s="65">
        <v>219.88862359000001</v>
      </c>
      <c r="M672" s="47">
        <f t="shared" si="53"/>
        <v>1.3270355163185421E-2</v>
      </c>
      <c r="P672" s="65">
        <v>1058.79793808</v>
      </c>
      <c r="Q672" s="47">
        <f t="shared" si="54"/>
        <v>3.7149462992329241E-2</v>
      </c>
    </row>
    <row r="673" spans="1:17" ht="14.4" x14ac:dyDescent="0.3">
      <c r="A673" s="63">
        <v>45184</v>
      </c>
      <c r="B673" s="64">
        <v>17665.80078125</v>
      </c>
      <c r="C673" s="47">
        <f t="shared" si="50"/>
        <v>3.5391133155338039E-3</v>
      </c>
      <c r="D673" s="65">
        <v>645.51548251999998</v>
      </c>
      <c r="E673" s="47">
        <f t="shared" si="51"/>
        <v>-2.0618585762763986E-2</v>
      </c>
      <c r="H673" s="65">
        <v>646.60132270999998</v>
      </c>
      <c r="I673" s="47">
        <f t="shared" si="52"/>
        <v>7.6946367126315973E-3</v>
      </c>
      <c r="L673" s="65">
        <v>219.05884535000001</v>
      </c>
      <c r="M673" s="47">
        <f t="shared" si="53"/>
        <v>-3.7736296969468341E-3</v>
      </c>
      <c r="P673" s="65">
        <v>1109.21688752</v>
      </c>
      <c r="Q673" s="47">
        <f t="shared" si="54"/>
        <v>4.7619047626243471E-2</v>
      </c>
    </row>
    <row r="674" spans="1:17" ht="14.4" x14ac:dyDescent="0.3">
      <c r="A674" s="63">
        <v>45187</v>
      </c>
      <c r="B674" s="64">
        <v>17613.599609379999</v>
      </c>
      <c r="C674" s="47">
        <f t="shared" si="50"/>
        <v>-2.9549281414633644E-3</v>
      </c>
      <c r="D674" s="65">
        <v>653.14140348000001</v>
      </c>
      <c r="E674" s="47">
        <f t="shared" si="51"/>
        <v>1.1813691795941939E-2</v>
      </c>
      <c r="H674" s="65">
        <v>643.32605005999994</v>
      </c>
      <c r="I674" s="47">
        <f t="shared" si="52"/>
        <v>-5.0653664552878785E-3</v>
      </c>
      <c r="L674" s="65">
        <v>218.32669702000001</v>
      </c>
      <c r="M674" s="47">
        <f t="shared" si="53"/>
        <v>-3.3422449973669055E-3</v>
      </c>
      <c r="P674" s="65">
        <v>1102.9206674899999</v>
      </c>
      <c r="Q674" s="47">
        <f t="shared" si="54"/>
        <v>-5.6762749475237628E-3</v>
      </c>
    </row>
    <row r="675" spans="1:17" ht="14.4" x14ac:dyDescent="0.3">
      <c r="A675" s="63">
        <v>45189</v>
      </c>
      <c r="B675" s="64">
        <v>17449.349609379999</v>
      </c>
      <c r="C675" s="47">
        <f t="shared" si="50"/>
        <v>-9.3251807491144811E-3</v>
      </c>
      <c r="D675" s="65">
        <v>647.03088205999995</v>
      </c>
      <c r="E675" s="47">
        <f t="shared" si="51"/>
        <v>-9.3555873007630241E-3</v>
      </c>
      <c r="H675" s="65">
        <v>627.63398825000002</v>
      </c>
      <c r="I675" s="47">
        <f t="shared" si="52"/>
        <v>-2.4392082068705911E-2</v>
      </c>
      <c r="L675" s="65">
        <v>214.91000314999999</v>
      </c>
      <c r="M675" s="47">
        <f t="shared" si="53"/>
        <v>-1.5649455227580433E-2</v>
      </c>
      <c r="P675" s="65">
        <v>1089.83633525</v>
      </c>
      <c r="Q675" s="47">
        <f t="shared" si="54"/>
        <v>-1.1863348494300041E-2</v>
      </c>
    </row>
    <row r="676" spans="1:17" ht="14.4" x14ac:dyDescent="0.3">
      <c r="A676" s="63">
        <v>45190</v>
      </c>
      <c r="B676" s="64">
        <v>17303.5</v>
      </c>
      <c r="C676" s="47">
        <f t="shared" si="50"/>
        <v>-8.3584553375901649E-3</v>
      </c>
      <c r="D676" s="65">
        <v>649.67063709000001</v>
      </c>
      <c r="E676" s="47">
        <f t="shared" si="51"/>
        <v>4.0797975849247159E-3</v>
      </c>
      <c r="H676" s="65">
        <v>618.49247174000004</v>
      </c>
      <c r="I676" s="47">
        <f t="shared" si="52"/>
        <v>-1.4565043769361186E-2</v>
      </c>
      <c r="L676" s="65">
        <v>212.61594725</v>
      </c>
      <c r="M676" s="47">
        <f t="shared" si="53"/>
        <v>-1.067449567900669E-2</v>
      </c>
      <c r="P676" s="65">
        <v>1083.8352505299999</v>
      </c>
      <c r="Q676" s="47">
        <f t="shared" si="54"/>
        <v>-5.5064091055685438E-3</v>
      </c>
    </row>
    <row r="677" spans="1:17" ht="14.4" x14ac:dyDescent="0.3">
      <c r="A677" s="63">
        <v>45191</v>
      </c>
      <c r="B677" s="64">
        <v>17260.80078125</v>
      </c>
      <c r="C677" s="47">
        <f t="shared" si="50"/>
        <v>-2.4676636952061237E-3</v>
      </c>
      <c r="D677" s="65">
        <v>641.26257916999998</v>
      </c>
      <c r="E677" s="47">
        <f t="shared" si="51"/>
        <v>-1.2942031607987348E-2</v>
      </c>
      <c r="H677" s="65">
        <v>609.5954289</v>
      </c>
      <c r="I677" s="47">
        <f t="shared" si="52"/>
        <v>-1.4385046296473192E-2</v>
      </c>
      <c r="L677" s="65">
        <v>212.42071741999999</v>
      </c>
      <c r="M677" s="47">
        <f t="shared" si="53"/>
        <v>-9.182275954608965E-4</v>
      </c>
      <c r="P677" s="65">
        <v>1072.76767627</v>
      </c>
      <c r="Q677" s="47">
        <f t="shared" si="54"/>
        <v>-1.0211491326368893E-2</v>
      </c>
    </row>
    <row r="678" spans="1:17" ht="14.4" x14ac:dyDescent="0.3">
      <c r="A678" s="63">
        <v>45194</v>
      </c>
      <c r="B678" s="64">
        <v>17272.55078125</v>
      </c>
      <c r="C678" s="47">
        <f t="shared" si="50"/>
        <v>6.8073319128769683E-4</v>
      </c>
      <c r="D678" s="65">
        <v>642.68018102999997</v>
      </c>
      <c r="E678" s="47">
        <f t="shared" si="51"/>
        <v>2.2106417964304903E-3</v>
      </c>
      <c r="H678" s="65">
        <v>615.99934865</v>
      </c>
      <c r="I678" s="47">
        <f t="shared" si="52"/>
        <v>1.0505196473595158E-2</v>
      </c>
      <c r="L678" s="65">
        <v>215.00763305999999</v>
      </c>
      <c r="M678" s="47">
        <f t="shared" si="53"/>
        <v>1.2178264302182606E-2</v>
      </c>
      <c r="P678" s="65">
        <v>1091.9514716599999</v>
      </c>
      <c r="Q678" s="47">
        <f t="shared" si="54"/>
        <v>1.7882525559216766E-2</v>
      </c>
    </row>
    <row r="679" spans="1:17" ht="14.4" x14ac:dyDescent="0.3">
      <c r="A679" s="63">
        <v>45195</v>
      </c>
      <c r="B679" s="64">
        <v>17276.75</v>
      </c>
      <c r="C679" s="47">
        <f t="shared" si="50"/>
        <v>2.4311514860664296E-4</v>
      </c>
      <c r="D679" s="65">
        <v>647.66639583999995</v>
      </c>
      <c r="E679" s="47">
        <f t="shared" si="51"/>
        <v>7.758469853557326E-3</v>
      </c>
      <c r="H679" s="65">
        <v>618.05254621999995</v>
      </c>
      <c r="I679" s="47">
        <f t="shared" si="52"/>
        <v>3.3331164627035115E-3</v>
      </c>
      <c r="L679" s="65">
        <v>214.17785481999999</v>
      </c>
      <c r="M679" s="47">
        <f t="shared" si="53"/>
        <v>-3.8592966593350431E-3</v>
      </c>
      <c r="P679" s="65">
        <v>1079.4082208299999</v>
      </c>
      <c r="Q679" s="47">
        <f t="shared" si="54"/>
        <v>-1.1487003915047311E-2</v>
      </c>
    </row>
    <row r="680" spans="1:17" ht="14.4" x14ac:dyDescent="0.3">
      <c r="A680" s="63">
        <v>45196</v>
      </c>
      <c r="B680" s="64">
        <v>17341.599609379999</v>
      </c>
      <c r="C680" s="47">
        <f t="shared" si="50"/>
        <v>3.7535768810683656E-3</v>
      </c>
      <c r="D680" s="65">
        <v>646.49316595000005</v>
      </c>
      <c r="E680" s="47">
        <f t="shared" si="51"/>
        <v>-1.8114725382321062E-3</v>
      </c>
      <c r="H680" s="65">
        <v>615.26607426999999</v>
      </c>
      <c r="I680" s="47">
        <f t="shared" si="52"/>
        <v>-4.5084709496659992E-3</v>
      </c>
      <c r="L680" s="65">
        <v>214.17785481999999</v>
      </c>
      <c r="M680" s="47">
        <f t="shared" si="53"/>
        <v>0</v>
      </c>
      <c r="P680" s="65">
        <v>1093.1320129200001</v>
      </c>
      <c r="Q680" s="47">
        <f t="shared" si="54"/>
        <v>1.2714181553525217E-2</v>
      </c>
    </row>
    <row r="681" spans="1:17" ht="14.4" x14ac:dyDescent="0.3">
      <c r="A681" s="63">
        <v>45197</v>
      </c>
      <c r="B681" s="64">
        <v>17170.44921875</v>
      </c>
      <c r="C681" s="47">
        <f t="shared" si="50"/>
        <v>-9.8693542974792603E-3</v>
      </c>
      <c r="D681" s="65">
        <v>648.69295365999994</v>
      </c>
      <c r="E681" s="47">
        <f t="shared" si="51"/>
        <v>3.4026465024845631E-3</v>
      </c>
      <c r="H681" s="65">
        <v>614.19062474999998</v>
      </c>
      <c r="I681" s="47">
        <f t="shared" si="52"/>
        <v>-1.7479421748972657E-3</v>
      </c>
      <c r="L681" s="65">
        <v>213.59214535000001</v>
      </c>
      <c r="M681" s="47">
        <f t="shared" si="53"/>
        <v>-2.734687348942888E-3</v>
      </c>
      <c r="P681" s="65">
        <v>1088.5574155500001</v>
      </c>
      <c r="Q681" s="47">
        <f t="shared" si="54"/>
        <v>-4.1848535363814277E-3</v>
      </c>
    </row>
    <row r="682" spans="1:17" ht="14.4" x14ac:dyDescent="0.3">
      <c r="A682" s="63">
        <v>45198</v>
      </c>
      <c r="B682" s="64">
        <v>17292.599609379999</v>
      </c>
      <c r="C682" s="47">
        <f t="shared" si="50"/>
        <v>7.1139892191411924E-3</v>
      </c>
      <c r="D682" s="65">
        <v>647.71527022999999</v>
      </c>
      <c r="E682" s="47">
        <f t="shared" si="51"/>
        <v>-1.5071590102586629E-3</v>
      </c>
      <c r="H682" s="65">
        <v>617.46589739000001</v>
      </c>
      <c r="I682" s="47">
        <f t="shared" si="52"/>
        <v>5.3326646614528794E-3</v>
      </c>
      <c r="L682" s="65">
        <v>216.61834959000001</v>
      </c>
      <c r="M682" s="47">
        <f t="shared" si="53"/>
        <v>1.4168143847430148E-2</v>
      </c>
      <c r="P682" s="65">
        <v>1084.5238996</v>
      </c>
      <c r="Q682" s="47">
        <f t="shared" si="54"/>
        <v>-3.705377311643332E-3</v>
      </c>
    </row>
    <row r="683" spans="1:17" ht="14.4" x14ac:dyDescent="0.3">
      <c r="A683" s="63">
        <v>45202</v>
      </c>
      <c r="B683" s="64">
        <v>17254.400390629999</v>
      </c>
      <c r="C683" s="47">
        <f t="shared" si="50"/>
        <v>-2.2089922633309333E-3</v>
      </c>
      <c r="D683" s="65">
        <v>664.09146763000001</v>
      </c>
      <c r="E683" s="47">
        <f t="shared" si="51"/>
        <v>2.5283018870598806E-2</v>
      </c>
      <c r="H683" s="65">
        <v>635.40670638999995</v>
      </c>
      <c r="I683" s="47">
        <f t="shared" si="52"/>
        <v>2.905554634812213E-2</v>
      </c>
      <c r="L683" s="65">
        <v>215.83741129000001</v>
      </c>
      <c r="M683" s="47">
        <f t="shared" si="53"/>
        <v>-3.605134567215118E-3</v>
      </c>
      <c r="P683" s="65">
        <v>1074.0957851799999</v>
      </c>
      <c r="Q683" s="47">
        <f t="shared" si="54"/>
        <v>-9.6153846160940137E-3</v>
      </c>
    </row>
    <row r="684" spans="1:17" ht="14.4" x14ac:dyDescent="0.3">
      <c r="A684" s="63">
        <v>45203</v>
      </c>
      <c r="B684" s="64">
        <v>17123.099609379999</v>
      </c>
      <c r="C684" s="47">
        <f t="shared" si="50"/>
        <v>-7.6096982959374948E-3</v>
      </c>
      <c r="D684" s="65">
        <v>661.30508941999994</v>
      </c>
      <c r="E684" s="47">
        <f t="shared" si="51"/>
        <v>-4.1957747476323304E-3</v>
      </c>
      <c r="H684" s="65">
        <v>637.94870465999998</v>
      </c>
      <c r="I684" s="47">
        <f t="shared" si="52"/>
        <v>4.0005845774624404E-3</v>
      </c>
      <c r="L684" s="65">
        <v>212.6647672</v>
      </c>
      <c r="M684" s="47">
        <f t="shared" si="53"/>
        <v>-1.4699231569902493E-2</v>
      </c>
      <c r="P684" s="65">
        <v>1052.6000964899999</v>
      </c>
      <c r="Q684" s="47">
        <f t="shared" si="54"/>
        <v>-2.0012822866070201E-2</v>
      </c>
    </row>
    <row r="685" spans="1:17" ht="14.4" x14ac:dyDescent="0.3">
      <c r="A685" s="63">
        <v>45204</v>
      </c>
      <c r="B685" s="64">
        <v>17195.80078125</v>
      </c>
      <c r="C685" s="47">
        <f t="shared" si="50"/>
        <v>4.2457950679779533E-3</v>
      </c>
      <c r="D685" s="65">
        <v>657.05213718000005</v>
      </c>
      <c r="E685" s="47">
        <f t="shared" si="51"/>
        <v>-6.4311500214371264E-3</v>
      </c>
      <c r="H685" s="65">
        <v>632.42468483000005</v>
      </c>
      <c r="I685" s="47">
        <f t="shared" si="52"/>
        <v>-8.6590344798082031E-3</v>
      </c>
      <c r="L685" s="65">
        <v>215.00763305999999</v>
      </c>
      <c r="M685" s="47">
        <f t="shared" si="53"/>
        <v>1.101670902447438E-2</v>
      </c>
      <c r="P685" s="65">
        <v>1047.48441772</v>
      </c>
      <c r="Q685" s="47">
        <f t="shared" si="54"/>
        <v>-4.8600401872075372E-3</v>
      </c>
    </row>
    <row r="686" spans="1:17" ht="14.4" x14ac:dyDescent="0.3">
      <c r="A686" s="63">
        <v>45205</v>
      </c>
      <c r="B686" s="64">
        <v>17293.599609379999</v>
      </c>
      <c r="C686" s="47">
        <f t="shared" si="50"/>
        <v>5.6873668969599223E-3</v>
      </c>
      <c r="D686" s="65">
        <v>670.59308196999996</v>
      </c>
      <c r="E686" s="47">
        <f t="shared" si="51"/>
        <v>2.0608630615092771E-2</v>
      </c>
      <c r="H686" s="65">
        <v>622.10996841999997</v>
      </c>
      <c r="I686" s="47">
        <f t="shared" si="52"/>
        <v>-1.6309794126351584E-2</v>
      </c>
      <c r="L686" s="65">
        <v>216.86239936000001</v>
      </c>
      <c r="M686" s="47">
        <f t="shared" si="53"/>
        <v>8.6265137362933064E-3</v>
      </c>
      <c r="P686" s="65">
        <v>1043.50009099</v>
      </c>
      <c r="Q686" s="47">
        <f t="shared" si="54"/>
        <v>-3.803709785652476E-3</v>
      </c>
    </row>
    <row r="687" spans="1:17" ht="14.4" x14ac:dyDescent="0.3">
      <c r="A687" s="63">
        <v>45208</v>
      </c>
      <c r="B687" s="64">
        <v>17127.69921875</v>
      </c>
      <c r="C687" s="47">
        <f t="shared" si="50"/>
        <v>-9.5931670894019438E-3</v>
      </c>
      <c r="D687" s="65">
        <v>649.52396501999999</v>
      </c>
      <c r="E687" s="47">
        <f t="shared" si="51"/>
        <v>-3.1418631531517249E-2</v>
      </c>
      <c r="H687" s="65">
        <v>622.20776766999995</v>
      </c>
      <c r="I687" s="47">
        <f t="shared" si="52"/>
        <v>1.5720572722588422E-4</v>
      </c>
      <c r="L687" s="65">
        <v>218.37551597000001</v>
      </c>
      <c r="M687" s="47">
        <f t="shared" si="53"/>
        <v>6.9773119474167977E-3</v>
      </c>
      <c r="P687" s="65">
        <v>1041.5817114500001</v>
      </c>
      <c r="Q687" s="47">
        <f t="shared" si="54"/>
        <v>-1.8384085986805632E-3</v>
      </c>
    </row>
    <row r="688" spans="1:17" ht="14.4" x14ac:dyDescent="0.3">
      <c r="A688" s="63">
        <v>45209</v>
      </c>
      <c r="B688" s="64">
        <v>17303.349609379999</v>
      </c>
      <c r="C688" s="47">
        <f t="shared" si="50"/>
        <v>1.0255340684504288E-2</v>
      </c>
      <c r="D688" s="65">
        <v>649.96393234000004</v>
      </c>
      <c r="E688" s="47">
        <f t="shared" si="51"/>
        <v>6.7736887889346953E-4</v>
      </c>
      <c r="H688" s="65">
        <v>623.38096756000004</v>
      </c>
      <c r="I688" s="47">
        <f t="shared" si="52"/>
        <v>1.8855436253928382E-3</v>
      </c>
      <c r="L688" s="65">
        <v>229.50418476999999</v>
      </c>
      <c r="M688" s="47">
        <f t="shared" si="53"/>
        <v>5.0961156293404253E-2</v>
      </c>
      <c r="P688" s="65">
        <v>1043.10657724</v>
      </c>
      <c r="Q688" s="47">
        <f t="shared" si="54"/>
        <v>1.4639905570894562E-3</v>
      </c>
    </row>
    <row r="689" spans="1:17" ht="14.4" x14ac:dyDescent="0.3">
      <c r="A689" s="63">
        <v>45210</v>
      </c>
      <c r="B689" s="64">
        <v>17407.349609379999</v>
      </c>
      <c r="C689" s="47">
        <f t="shared" si="50"/>
        <v>6.0103969663551915E-3</v>
      </c>
      <c r="D689" s="65">
        <v>638.67169853999997</v>
      </c>
      <c r="E689" s="47">
        <f t="shared" si="51"/>
        <v>-1.737363142497117E-2</v>
      </c>
      <c r="H689" s="65">
        <v>634.67343201000006</v>
      </c>
      <c r="I689" s="47">
        <f t="shared" si="52"/>
        <v>1.8114868816416108E-2</v>
      </c>
      <c r="L689" s="65">
        <v>225.69700226</v>
      </c>
      <c r="M689" s="47">
        <f t="shared" si="53"/>
        <v>-1.6588728060951907E-2</v>
      </c>
      <c r="P689" s="65">
        <v>1045.91036272</v>
      </c>
      <c r="Q689" s="47">
        <f t="shared" si="54"/>
        <v>2.6879185130044281E-3</v>
      </c>
    </row>
    <row r="690" spans="1:17" ht="14.4" x14ac:dyDescent="0.3">
      <c r="A690" s="63">
        <v>45211</v>
      </c>
      <c r="B690" s="64">
        <v>17419.69921875</v>
      </c>
      <c r="C690" s="47">
        <f t="shared" si="50"/>
        <v>7.0944800024852483E-4</v>
      </c>
      <c r="D690" s="65">
        <v>631.38794723000001</v>
      </c>
      <c r="E690" s="47">
        <f t="shared" si="51"/>
        <v>-1.1404531195997158E-2</v>
      </c>
      <c r="H690" s="65">
        <v>644.59704920000001</v>
      </c>
      <c r="I690" s="47">
        <f t="shared" si="52"/>
        <v>1.5635784782375373E-2</v>
      </c>
      <c r="L690" s="65">
        <v>224.76961410999999</v>
      </c>
      <c r="M690" s="47">
        <f t="shared" si="53"/>
        <v>-4.1089963123731588E-3</v>
      </c>
      <c r="P690" s="65">
        <v>1051.1244199299999</v>
      </c>
      <c r="Q690" s="47">
        <f t="shared" si="54"/>
        <v>4.9851855339115847E-3</v>
      </c>
    </row>
    <row r="691" spans="1:17" ht="14.4" x14ac:dyDescent="0.3">
      <c r="A691" s="63">
        <v>45212</v>
      </c>
      <c r="B691" s="64">
        <v>17390.349609379999</v>
      </c>
      <c r="C691" s="47">
        <f t="shared" si="50"/>
        <v>-1.6848516728928953E-3</v>
      </c>
      <c r="D691" s="65">
        <v>639.69825635999996</v>
      </c>
      <c r="E691" s="47">
        <f t="shared" si="51"/>
        <v>1.3161969857768963E-2</v>
      </c>
      <c r="H691" s="65">
        <v>644.20599886000002</v>
      </c>
      <c r="I691" s="47">
        <f t="shared" si="52"/>
        <v>-6.066585946760128E-4</v>
      </c>
      <c r="L691" s="65">
        <v>221.54816006999999</v>
      </c>
      <c r="M691" s="47">
        <f t="shared" si="53"/>
        <v>-1.433224883512707E-2</v>
      </c>
      <c r="P691" s="65">
        <v>1056.2400987000001</v>
      </c>
      <c r="Q691" s="47">
        <f t="shared" si="54"/>
        <v>4.8668632114368116E-3</v>
      </c>
    </row>
    <row r="692" spans="1:17" ht="14.4" x14ac:dyDescent="0.3">
      <c r="A692" s="63">
        <v>45215</v>
      </c>
      <c r="B692" s="64">
        <v>17393</v>
      </c>
      <c r="C692" s="47">
        <f t="shared" si="50"/>
        <v>1.5240582734299402E-4</v>
      </c>
      <c r="D692" s="65">
        <v>637.49846864999995</v>
      </c>
      <c r="E692" s="47">
        <f t="shared" si="51"/>
        <v>-3.4387895982664896E-3</v>
      </c>
      <c r="H692" s="65">
        <v>684.14499017000003</v>
      </c>
      <c r="I692" s="47">
        <f t="shared" si="52"/>
        <v>6.1997235947316209E-2</v>
      </c>
      <c r="L692" s="65">
        <v>228.57677663000001</v>
      </c>
      <c r="M692" s="47">
        <f t="shared" si="53"/>
        <v>3.1725005334186873E-2</v>
      </c>
      <c r="P692" s="65">
        <v>1065.6844287399999</v>
      </c>
      <c r="Q692" s="47">
        <f t="shared" si="54"/>
        <v>8.9414613700271595E-3</v>
      </c>
    </row>
    <row r="693" spans="1:17" ht="14.4" x14ac:dyDescent="0.3">
      <c r="A693" s="63">
        <v>45216</v>
      </c>
      <c r="B693" s="64">
        <v>17467.69921875</v>
      </c>
      <c r="C693" s="47">
        <f t="shared" si="50"/>
        <v>4.2947863364573013E-3</v>
      </c>
      <c r="D693" s="65">
        <v>638.81837059999998</v>
      </c>
      <c r="E693" s="47">
        <f t="shared" si="51"/>
        <v>2.0704394048116637E-3</v>
      </c>
      <c r="H693" s="65">
        <v>669.96835228999998</v>
      </c>
      <c r="I693" s="47">
        <f t="shared" si="52"/>
        <v>-2.0721686314588594E-2</v>
      </c>
      <c r="L693" s="65">
        <v>225.1112928</v>
      </c>
      <c r="M693" s="47">
        <f t="shared" si="53"/>
        <v>-1.5161137019661597E-2</v>
      </c>
      <c r="P693" s="65">
        <v>1071.9314595400001</v>
      </c>
      <c r="Q693" s="47">
        <f t="shared" si="54"/>
        <v>5.8619893765232689E-3</v>
      </c>
    </row>
    <row r="694" spans="1:17" ht="14.4" x14ac:dyDescent="0.3">
      <c r="A694" s="63">
        <v>45217</v>
      </c>
      <c r="B694" s="64">
        <v>17344</v>
      </c>
      <c r="C694" s="47">
        <f t="shared" si="50"/>
        <v>-7.0815977079121684E-3</v>
      </c>
      <c r="D694" s="65">
        <v>652.31039211999996</v>
      </c>
      <c r="E694" s="47">
        <f t="shared" si="51"/>
        <v>2.1120277908300844E-2</v>
      </c>
      <c r="H694" s="65">
        <v>686.14926367999999</v>
      </c>
      <c r="I694" s="47">
        <f t="shared" si="52"/>
        <v>2.4151754832437256E-2</v>
      </c>
      <c r="L694" s="65">
        <v>222.71958799999999</v>
      </c>
      <c r="M694" s="47">
        <f t="shared" si="53"/>
        <v>-1.0624543843408718E-2</v>
      </c>
      <c r="P694" s="65">
        <v>1104.39634406</v>
      </c>
      <c r="Q694" s="47">
        <f t="shared" si="54"/>
        <v>3.0286343619331468E-2</v>
      </c>
    </row>
    <row r="695" spans="1:17" ht="14.4" x14ac:dyDescent="0.3">
      <c r="A695" s="63">
        <v>45218</v>
      </c>
      <c r="B695" s="64">
        <v>17310.5</v>
      </c>
      <c r="C695" s="47">
        <f t="shared" si="50"/>
        <v>-1.9315036900369176E-3</v>
      </c>
      <c r="D695" s="65">
        <v>644.78221995000001</v>
      </c>
      <c r="E695" s="47">
        <f t="shared" si="51"/>
        <v>-1.1540782211875378E-2</v>
      </c>
      <c r="H695" s="65">
        <v>686.78478769000003</v>
      </c>
      <c r="I695" s="47">
        <f t="shared" si="52"/>
        <v>9.2621830794015203E-4</v>
      </c>
      <c r="L695" s="65">
        <v>227.06368900999999</v>
      </c>
      <c r="M695" s="47">
        <f t="shared" si="53"/>
        <v>1.9504799954999985E-2</v>
      </c>
      <c r="P695" s="65">
        <v>1081.27741115</v>
      </c>
      <c r="Q695" s="47">
        <f t="shared" si="54"/>
        <v>-2.0933547122231277E-2</v>
      </c>
    </row>
    <row r="696" spans="1:17" ht="14.4" x14ac:dyDescent="0.3">
      <c r="A696" s="63">
        <v>45219</v>
      </c>
      <c r="B696" s="64">
        <v>17208.75</v>
      </c>
      <c r="C696" s="47">
        <f t="shared" si="50"/>
        <v>-5.8779353571531967E-3</v>
      </c>
      <c r="D696" s="65">
        <v>638.37840329000005</v>
      </c>
      <c r="E696" s="47">
        <f t="shared" si="51"/>
        <v>-9.9317513136397695E-3</v>
      </c>
      <c r="H696" s="65">
        <v>687.07808766000005</v>
      </c>
      <c r="I696" s="47">
        <f t="shared" si="52"/>
        <v>4.2706241497647568E-4</v>
      </c>
      <c r="L696" s="65">
        <v>222.42674825</v>
      </c>
      <c r="M696" s="47">
        <f t="shared" si="53"/>
        <v>-2.0421322229974725E-2</v>
      </c>
      <c r="P696" s="65">
        <v>1056.9287477600001</v>
      </c>
      <c r="Q696" s="47">
        <f t="shared" si="54"/>
        <v>-2.2518424170263396E-2</v>
      </c>
    </row>
    <row r="697" spans="1:17" ht="14.4" x14ac:dyDescent="0.3">
      <c r="A697" s="63">
        <v>45222</v>
      </c>
      <c r="B697" s="64">
        <v>16888.69921875</v>
      </c>
      <c r="C697" s="47">
        <f t="shared" si="50"/>
        <v>-1.8598142296796683E-2</v>
      </c>
      <c r="D697" s="65">
        <v>614.22961286999998</v>
      </c>
      <c r="E697" s="47">
        <f t="shared" si="51"/>
        <v>-3.7828332373941342E-2</v>
      </c>
      <c r="H697" s="65">
        <v>686.05151332000003</v>
      </c>
      <c r="I697" s="47">
        <f t="shared" si="52"/>
        <v>-1.4941159650372349E-3</v>
      </c>
      <c r="L697" s="65">
        <v>215.10526196000001</v>
      </c>
      <c r="M697" s="47">
        <f t="shared" si="53"/>
        <v>-3.2916393138881395E-2</v>
      </c>
      <c r="P697" s="65">
        <v>1028.84170374</v>
      </c>
      <c r="Q697" s="47">
        <f t="shared" si="54"/>
        <v>-2.6574207655460591E-2</v>
      </c>
    </row>
    <row r="698" spans="1:17" ht="14.4" x14ac:dyDescent="0.3">
      <c r="A698" s="63">
        <v>45224</v>
      </c>
      <c r="B698" s="64">
        <v>16760.80078125</v>
      </c>
      <c r="C698" s="47">
        <f t="shared" si="50"/>
        <v>-7.5730188478936311E-3</v>
      </c>
      <c r="D698" s="65">
        <v>600.98201220999999</v>
      </c>
      <c r="E698" s="47">
        <f t="shared" si="51"/>
        <v>-2.156783128397266E-2</v>
      </c>
      <c r="H698" s="65">
        <v>651.44094335</v>
      </c>
      <c r="I698" s="47">
        <f t="shared" si="52"/>
        <v>-5.0448937576873187E-2</v>
      </c>
      <c r="L698" s="65">
        <v>205.24565200000001</v>
      </c>
      <c r="M698" s="47">
        <f t="shared" si="53"/>
        <v>-4.5836210003237565E-2</v>
      </c>
      <c r="P698" s="65">
        <v>1016.59358822</v>
      </c>
      <c r="Q698" s="47">
        <f t="shared" si="54"/>
        <v>-1.190476190406764E-2</v>
      </c>
    </row>
    <row r="699" spans="1:17" ht="14.4" x14ac:dyDescent="0.3">
      <c r="A699" s="63">
        <v>45225</v>
      </c>
      <c r="B699" s="64">
        <v>16555.44921875</v>
      </c>
      <c r="C699" s="47">
        <f t="shared" si="50"/>
        <v>-1.2251894475693748E-2</v>
      </c>
      <c r="D699" s="65">
        <v>619.31357646000004</v>
      </c>
      <c r="E699" s="47">
        <f t="shared" si="51"/>
        <v>3.0502683736887803E-2</v>
      </c>
      <c r="H699" s="65">
        <v>634.77118238000003</v>
      </c>
      <c r="I699" s="47">
        <f t="shared" si="52"/>
        <v>-2.5589059361661559E-2</v>
      </c>
      <c r="L699" s="65">
        <v>209.93140270999999</v>
      </c>
      <c r="M699" s="47">
        <f t="shared" si="53"/>
        <v>2.2829963335837089E-2</v>
      </c>
      <c r="P699" s="65">
        <v>996.67195454</v>
      </c>
      <c r="Q699" s="47">
        <f t="shared" si="54"/>
        <v>-1.9596458123330995E-2</v>
      </c>
    </row>
    <row r="700" spans="1:17" ht="14.4" x14ac:dyDescent="0.3">
      <c r="A700" s="63">
        <v>45226</v>
      </c>
      <c r="B700" s="64">
        <v>16765.44921875</v>
      </c>
      <c r="C700" s="47">
        <f t="shared" si="50"/>
        <v>1.2684645232227343E-2</v>
      </c>
      <c r="D700" s="65">
        <v>615.15842190000001</v>
      </c>
      <c r="E700" s="47">
        <f t="shared" si="51"/>
        <v>-6.7092902819132494E-3</v>
      </c>
      <c r="H700" s="65">
        <v>625.38528995000001</v>
      </c>
      <c r="I700" s="47">
        <f t="shared" si="52"/>
        <v>-1.4786261081999208E-2</v>
      </c>
      <c r="L700" s="65">
        <v>219.20528421</v>
      </c>
      <c r="M700" s="47">
        <f t="shared" si="53"/>
        <v>4.4175770657860935E-2</v>
      </c>
      <c r="P700" s="65">
        <v>1027.26764873</v>
      </c>
      <c r="Q700" s="47">
        <f t="shared" si="54"/>
        <v>3.0697858057138872E-2</v>
      </c>
    </row>
    <row r="701" spans="1:17" ht="14.4" x14ac:dyDescent="0.3">
      <c r="A701" s="63">
        <v>45229</v>
      </c>
      <c r="B701" s="64">
        <v>16826.099609379999</v>
      </c>
      <c r="C701" s="47">
        <f t="shared" si="50"/>
        <v>3.6175821976884848E-3</v>
      </c>
      <c r="D701" s="65">
        <v>631.33907283999997</v>
      </c>
      <c r="E701" s="47">
        <f t="shared" si="51"/>
        <v>2.6303225907277294E-2</v>
      </c>
      <c r="H701" s="65">
        <v>635.40670638999995</v>
      </c>
      <c r="I701" s="47">
        <f t="shared" si="52"/>
        <v>1.6024387847052068E-2</v>
      </c>
      <c r="L701" s="65">
        <v>215.59336150999999</v>
      </c>
      <c r="M701" s="47">
        <f t="shared" si="53"/>
        <v>-1.6477352327600614E-2</v>
      </c>
      <c r="P701" s="65">
        <v>1018.61034619</v>
      </c>
      <c r="Q701" s="47">
        <f t="shared" si="54"/>
        <v>-8.4275043127299831E-3</v>
      </c>
    </row>
    <row r="702" spans="1:17" ht="14.4" x14ac:dyDescent="0.3">
      <c r="A702" s="63">
        <v>45230</v>
      </c>
      <c r="B702" s="64">
        <v>16801.099609379999</v>
      </c>
      <c r="C702" s="47">
        <f t="shared" si="50"/>
        <v>-1.485786996414995E-3</v>
      </c>
      <c r="D702" s="65">
        <v>614.27848726000002</v>
      </c>
      <c r="E702" s="47">
        <f t="shared" si="51"/>
        <v>-2.7022857152266933E-2</v>
      </c>
      <c r="H702" s="65">
        <v>648.31229625000003</v>
      </c>
      <c r="I702" s="47">
        <f t="shared" si="52"/>
        <v>2.0310754875915382E-2</v>
      </c>
      <c r="L702" s="65">
        <v>222.03625962000001</v>
      </c>
      <c r="M702" s="47">
        <f t="shared" si="53"/>
        <v>2.9884492105296978E-2</v>
      </c>
      <c r="P702" s="65">
        <v>1003.90276973</v>
      </c>
      <c r="Q702" s="47">
        <f t="shared" si="54"/>
        <v>-1.4438864198672241E-2</v>
      </c>
    </row>
    <row r="703" spans="1:17" ht="14.4" x14ac:dyDescent="0.3">
      <c r="A703" s="63">
        <v>45231</v>
      </c>
      <c r="B703" s="64">
        <v>16732.94921875</v>
      </c>
      <c r="C703" s="47">
        <f t="shared" si="50"/>
        <v>-4.056305373723923E-3</v>
      </c>
      <c r="D703" s="65">
        <v>607.58137534000002</v>
      </c>
      <c r="E703" s="47">
        <f t="shared" si="51"/>
        <v>-1.0902403484570278E-2</v>
      </c>
      <c r="H703" s="65">
        <v>644.30374922999999</v>
      </c>
      <c r="I703" s="47">
        <f t="shared" si="52"/>
        <v>-6.1830495012765718E-3</v>
      </c>
      <c r="L703" s="65">
        <v>229.55297474</v>
      </c>
      <c r="M703" s="47">
        <f t="shared" si="53"/>
        <v>3.3853547762263458E-2</v>
      </c>
      <c r="P703" s="65">
        <v>1007.4935827100001</v>
      </c>
      <c r="Q703" s="47">
        <f t="shared" si="54"/>
        <v>3.5768533450364348E-3</v>
      </c>
    </row>
    <row r="704" spans="1:17" ht="14.4" x14ac:dyDescent="0.3">
      <c r="A704" s="63">
        <v>45232</v>
      </c>
      <c r="B704" s="64">
        <v>16890.80078125</v>
      </c>
      <c r="C704" s="47">
        <f t="shared" si="50"/>
        <v>9.4335768570383838E-3</v>
      </c>
      <c r="D704" s="65">
        <v>600.98201220999999</v>
      </c>
      <c r="E704" s="47">
        <f t="shared" si="51"/>
        <v>-1.0861694248456955E-2</v>
      </c>
      <c r="H704" s="65">
        <v>637.11767992</v>
      </c>
      <c r="I704" s="47">
        <f t="shared" si="52"/>
        <v>-1.1153232180610484E-2</v>
      </c>
      <c r="L704" s="65">
        <v>228.91845631000001</v>
      </c>
      <c r="M704" s="47">
        <f t="shared" si="53"/>
        <v>-2.7641481480197294E-3</v>
      </c>
      <c r="P704" s="65">
        <v>1022.29953762</v>
      </c>
      <c r="Q704" s="47">
        <f t="shared" si="54"/>
        <v>1.4695830488740347E-2</v>
      </c>
    </row>
    <row r="705" spans="1:17" ht="14.4" x14ac:dyDescent="0.3">
      <c r="A705" s="63">
        <v>45233</v>
      </c>
      <c r="B705" s="64">
        <v>17000.94921875</v>
      </c>
      <c r="C705" s="47">
        <f t="shared" si="50"/>
        <v>6.5212087293262666E-3</v>
      </c>
      <c r="D705" s="65">
        <v>587.68548827999996</v>
      </c>
      <c r="E705" s="47">
        <f t="shared" si="51"/>
        <v>-2.2124662069509471E-2</v>
      </c>
      <c r="H705" s="65">
        <v>617.66144699999995</v>
      </c>
      <c r="I705" s="47">
        <f t="shared" si="52"/>
        <v>-3.0537895169449825E-2</v>
      </c>
      <c r="L705" s="65">
        <v>229.11369514</v>
      </c>
      <c r="M705" s="47">
        <f t="shared" si="53"/>
        <v>8.5287500687836193E-4</v>
      </c>
      <c r="P705" s="65">
        <v>1025.9395398199999</v>
      </c>
      <c r="Q705" s="47">
        <f t="shared" si="54"/>
        <v>3.5606024125514057E-3</v>
      </c>
    </row>
    <row r="706" spans="1:17" ht="14.4" x14ac:dyDescent="0.3">
      <c r="A706" s="63">
        <v>45236</v>
      </c>
      <c r="B706" s="64">
        <v>17159.400390629999</v>
      </c>
      <c r="C706" s="47">
        <f t="shared" si="50"/>
        <v>9.3201367665545209E-3</v>
      </c>
      <c r="D706" s="65">
        <v>568.81620792000001</v>
      </c>
      <c r="E706" s="47">
        <f t="shared" si="51"/>
        <v>-3.2107786794643101E-2</v>
      </c>
      <c r="H706" s="65">
        <v>601.52941079000004</v>
      </c>
      <c r="I706" s="47">
        <f t="shared" si="52"/>
        <v>-2.6117926395363811E-2</v>
      </c>
      <c r="L706" s="65">
        <v>224.23270461000001</v>
      </c>
      <c r="M706" s="47">
        <f t="shared" si="53"/>
        <v>-2.1303792106436292E-2</v>
      </c>
      <c r="P706" s="65">
        <v>1031.4979215599999</v>
      </c>
      <c r="Q706" s="47">
        <f t="shared" si="54"/>
        <v>5.4178453254420944E-3</v>
      </c>
    </row>
    <row r="707" spans="1:17" ht="14.4" x14ac:dyDescent="0.3">
      <c r="A707" s="63">
        <v>45237</v>
      </c>
      <c r="B707" s="64">
        <v>17187.80078125</v>
      </c>
      <c r="C707" s="47">
        <f t="shared" si="50"/>
        <v>1.6550922510969457E-3</v>
      </c>
      <c r="D707" s="65">
        <v>547.69826545000001</v>
      </c>
      <c r="E707" s="47">
        <f t="shared" si="51"/>
        <v>-3.7126126463980946E-2</v>
      </c>
      <c r="H707" s="65">
        <v>596.44536535999998</v>
      </c>
      <c r="I707" s="47">
        <f t="shared" si="52"/>
        <v>-8.4518650938830708E-3</v>
      </c>
      <c r="L707" s="65">
        <v>220.42553208999999</v>
      </c>
      <c r="M707" s="47">
        <f t="shared" si="53"/>
        <v>-1.6978667436677863E-2</v>
      </c>
      <c r="P707" s="65">
        <v>1002.32871472</v>
      </c>
      <c r="Q707" s="47">
        <f t="shared" si="54"/>
        <v>-2.8278493083035428E-2</v>
      </c>
    </row>
    <row r="708" spans="1:17" ht="14.4" x14ac:dyDescent="0.3">
      <c r="A708" s="63">
        <v>45238</v>
      </c>
      <c r="B708" s="64">
        <v>17259.69921875</v>
      </c>
      <c r="C708" s="47">
        <f t="shared" ref="C708:C771" si="55">B708/B707-1</f>
        <v>4.183108613781128E-3</v>
      </c>
      <c r="D708" s="65">
        <v>546.08506824999995</v>
      </c>
      <c r="E708" s="47">
        <f t="shared" ref="E708:E771" si="56">D708/D707-1</f>
        <v>-2.9454122858589837E-3</v>
      </c>
      <c r="H708" s="65">
        <v>592.38794315999996</v>
      </c>
      <c r="I708" s="47">
        <f t="shared" ref="I708:I771" si="57">H708/H707-1</f>
        <v>-6.8026720226940229E-3</v>
      </c>
      <c r="L708" s="65">
        <v>226.96606009999999</v>
      </c>
      <c r="M708" s="47">
        <f t="shared" ref="M708:M771" si="58">L708/L707-1</f>
        <v>2.9672279558474735E-2</v>
      </c>
      <c r="P708" s="65">
        <v>1008.37898865</v>
      </c>
      <c r="Q708" s="47">
        <f t="shared" ref="Q708:Q771" si="59">P708/P707-1</f>
        <v>6.0362173019159471E-3</v>
      </c>
    </row>
    <row r="709" spans="1:17" ht="14.4" x14ac:dyDescent="0.3">
      <c r="A709" s="63">
        <v>45239</v>
      </c>
      <c r="B709" s="64">
        <v>17218.900390629999</v>
      </c>
      <c r="C709" s="47">
        <f t="shared" si="55"/>
        <v>-2.3638203425746518E-3</v>
      </c>
      <c r="D709" s="65">
        <v>563.14565382000001</v>
      </c>
      <c r="E709" s="47">
        <f t="shared" si="56"/>
        <v>3.1241626189620897E-2</v>
      </c>
      <c r="H709" s="65">
        <v>601.04056120999996</v>
      </c>
      <c r="I709" s="47">
        <f t="shared" si="57"/>
        <v>1.4606337198296071E-2</v>
      </c>
      <c r="L709" s="65">
        <v>229.16250509</v>
      </c>
      <c r="M709" s="47">
        <f t="shared" si="58"/>
        <v>9.6774160375885376E-3</v>
      </c>
      <c r="P709" s="65">
        <v>996.96708984999998</v>
      </c>
      <c r="Q709" s="47">
        <f t="shared" si="59"/>
        <v>-1.1317073172337766E-2</v>
      </c>
    </row>
    <row r="710" spans="1:17" ht="14.4" x14ac:dyDescent="0.3">
      <c r="A710" s="63">
        <v>45240</v>
      </c>
      <c r="B710" s="64">
        <v>17256.599609379999</v>
      </c>
      <c r="C710" s="47">
        <f t="shared" si="55"/>
        <v>2.1894091895968693E-3</v>
      </c>
      <c r="D710" s="65">
        <v>563.87891638999997</v>
      </c>
      <c r="E710" s="47">
        <f t="shared" si="56"/>
        <v>1.3020833331944814E-3</v>
      </c>
      <c r="H710" s="65">
        <v>616.19489825999995</v>
      </c>
      <c r="I710" s="47">
        <f t="shared" si="57"/>
        <v>2.5213501430738194E-2</v>
      </c>
      <c r="L710" s="65">
        <v>228.18630723000001</v>
      </c>
      <c r="M710" s="47">
        <f t="shared" si="58"/>
        <v>-4.2598498372000693E-3</v>
      </c>
      <c r="P710" s="65">
        <v>992.29411404999996</v>
      </c>
      <c r="Q710" s="47">
        <f t="shared" si="59"/>
        <v>-4.6871916310728956E-3</v>
      </c>
    </row>
    <row r="711" spans="1:17" ht="14.4" x14ac:dyDescent="0.3">
      <c r="A711" s="63">
        <v>45242</v>
      </c>
      <c r="B711" s="64">
        <v>17361.099609379999</v>
      </c>
      <c r="C711" s="47">
        <f t="shared" si="55"/>
        <v>6.0556542056640073E-3</v>
      </c>
      <c r="D711" s="65">
        <v>566.66531415999998</v>
      </c>
      <c r="E711" s="47">
        <f t="shared" si="56"/>
        <v>4.9414824513014377E-3</v>
      </c>
      <c r="H711" s="65">
        <v>619.76350019999995</v>
      </c>
      <c r="I711" s="47">
        <f t="shared" si="57"/>
        <v>5.7913526224850909E-3</v>
      </c>
      <c r="L711" s="65">
        <v>232.77443833000001</v>
      </c>
      <c r="M711" s="47">
        <f t="shared" si="58"/>
        <v>2.0106951883731572E-2</v>
      </c>
      <c r="P711" s="65">
        <v>1003.46006675</v>
      </c>
      <c r="Q711" s="47">
        <f t="shared" si="59"/>
        <v>1.1252664448876626E-2</v>
      </c>
    </row>
    <row r="712" spans="1:17" ht="14.4" x14ac:dyDescent="0.3">
      <c r="A712" s="63">
        <v>45243</v>
      </c>
      <c r="B712" s="64">
        <v>17318.599609379999</v>
      </c>
      <c r="C712" s="47">
        <f t="shared" si="55"/>
        <v>-2.4480016218003664E-3</v>
      </c>
      <c r="D712" s="65">
        <v>558.74607839999999</v>
      </c>
      <c r="E712" s="47">
        <f t="shared" si="56"/>
        <v>-1.3975155284983609E-2</v>
      </c>
      <c r="H712" s="65">
        <v>643.91265000999999</v>
      </c>
      <c r="I712" s="47">
        <f t="shared" si="57"/>
        <v>3.8965104918581073E-2</v>
      </c>
      <c r="L712" s="65">
        <v>230.48038288000001</v>
      </c>
      <c r="M712" s="47">
        <f t="shared" si="58"/>
        <v>-9.8552721959433986E-3</v>
      </c>
      <c r="P712" s="65">
        <v>975.61897866000004</v>
      </c>
      <c r="Q712" s="47">
        <f t="shared" si="59"/>
        <v>-2.7745088232730031E-2</v>
      </c>
    </row>
    <row r="713" spans="1:17" ht="14.4" x14ac:dyDescent="0.3">
      <c r="A713" s="63">
        <v>45245</v>
      </c>
      <c r="B713" s="64">
        <v>17508.05078125</v>
      </c>
      <c r="C713" s="47">
        <f t="shared" si="55"/>
        <v>1.0939173844482841E-2</v>
      </c>
      <c r="D713" s="65">
        <v>579.57072560999995</v>
      </c>
      <c r="E713" s="47">
        <f t="shared" si="56"/>
        <v>3.7270323703447739E-2</v>
      </c>
      <c r="H713" s="65">
        <v>643.32605005999994</v>
      </c>
      <c r="I713" s="47">
        <f t="shared" si="57"/>
        <v>-9.1099305160557975E-4</v>
      </c>
      <c r="L713" s="65">
        <v>232.18872931000001</v>
      </c>
      <c r="M713" s="47">
        <f t="shared" si="58"/>
        <v>7.412112079358435E-3</v>
      </c>
      <c r="P713" s="65">
        <v>990.72005904000002</v>
      </c>
      <c r="Q713" s="47">
        <f t="shared" si="59"/>
        <v>1.5478461069649452E-2</v>
      </c>
    </row>
    <row r="714" spans="1:17" ht="14.4" x14ac:dyDescent="0.3">
      <c r="A714" s="63">
        <v>45246</v>
      </c>
      <c r="B714" s="64">
        <v>17593.099609379999</v>
      </c>
      <c r="C714" s="47">
        <f t="shared" si="55"/>
        <v>4.8576982779304778E-3</v>
      </c>
      <c r="D714" s="65">
        <v>572.04255345000001</v>
      </c>
      <c r="E714" s="47">
        <f t="shared" si="56"/>
        <v>-1.2989220861830963E-2</v>
      </c>
      <c r="H714" s="65">
        <v>639.02415418999999</v>
      </c>
      <c r="I714" s="47">
        <f t="shared" si="57"/>
        <v>-6.6869604761049528E-3</v>
      </c>
      <c r="L714" s="65">
        <v>230.43156293000001</v>
      </c>
      <c r="M714" s="47">
        <f t="shared" si="58"/>
        <v>-7.5678366698581634E-3</v>
      </c>
      <c r="P714" s="65">
        <v>984.81735276999996</v>
      </c>
      <c r="Q714" s="47">
        <f t="shared" si="59"/>
        <v>-5.9579961222544497E-3</v>
      </c>
    </row>
    <row r="715" spans="1:17" ht="14.4" x14ac:dyDescent="0.3">
      <c r="A715" s="63">
        <v>45247</v>
      </c>
      <c r="B715" s="64">
        <v>17600.5</v>
      </c>
      <c r="C715" s="47">
        <f t="shared" si="55"/>
        <v>4.2064165975941314E-4</v>
      </c>
      <c r="D715" s="65">
        <v>585.63237262999996</v>
      </c>
      <c r="E715" s="47">
        <f t="shared" si="56"/>
        <v>2.3756657783655211E-2</v>
      </c>
      <c r="H715" s="65">
        <v>651.14764337999998</v>
      </c>
      <c r="I715" s="47">
        <f t="shared" si="57"/>
        <v>1.8971879404726444E-2</v>
      </c>
      <c r="L715" s="65">
        <v>233.06729751</v>
      </c>
      <c r="M715" s="47">
        <f t="shared" si="58"/>
        <v>1.1438253277831878E-2</v>
      </c>
      <c r="P715" s="65">
        <v>972.96275100000003</v>
      </c>
      <c r="Q715" s="47">
        <f t="shared" si="59"/>
        <v>-1.2037360772184202E-2</v>
      </c>
    </row>
    <row r="716" spans="1:17" ht="14.4" x14ac:dyDescent="0.3">
      <c r="A716" s="63">
        <v>45250</v>
      </c>
      <c r="B716" s="64">
        <v>17573.650390629999</v>
      </c>
      <c r="C716" s="47">
        <f t="shared" si="55"/>
        <v>-1.5255026487884793E-3</v>
      </c>
      <c r="D716" s="65">
        <v>585.97454228000004</v>
      </c>
      <c r="E716" s="47">
        <f t="shared" si="56"/>
        <v>5.8427379699566018E-4</v>
      </c>
      <c r="H716" s="65">
        <v>634.91785679999998</v>
      </c>
      <c r="I716" s="47">
        <f t="shared" si="57"/>
        <v>-2.4924894906712458E-2</v>
      </c>
      <c r="L716" s="65">
        <v>256.39842314999999</v>
      </c>
      <c r="M716" s="47">
        <f t="shared" si="58"/>
        <v>0.10010467315346516</v>
      </c>
      <c r="P716" s="65">
        <v>972.07732538000005</v>
      </c>
      <c r="Q716" s="47">
        <f t="shared" si="59"/>
        <v>-9.1003033681391621E-4</v>
      </c>
    </row>
    <row r="717" spans="1:17" ht="14.4" x14ac:dyDescent="0.3">
      <c r="A717" s="63">
        <v>45251</v>
      </c>
      <c r="B717" s="64">
        <v>17627.599609379999</v>
      </c>
      <c r="C717" s="47">
        <f t="shared" si="55"/>
        <v>3.0698925693186663E-3</v>
      </c>
      <c r="D717" s="65">
        <v>582.45490150000001</v>
      </c>
      <c r="E717" s="47">
        <f t="shared" si="56"/>
        <v>-6.0064738756486769E-3</v>
      </c>
      <c r="H717" s="65">
        <v>638.19312945000001</v>
      </c>
      <c r="I717" s="47">
        <f t="shared" si="57"/>
        <v>5.1585769953099714E-3</v>
      </c>
      <c r="L717" s="65">
        <v>256.39842314999999</v>
      </c>
      <c r="M717" s="47">
        <f t="shared" si="58"/>
        <v>0</v>
      </c>
      <c r="P717" s="65">
        <v>967.30599082000003</v>
      </c>
      <c r="Q717" s="47">
        <f t="shared" si="59"/>
        <v>-4.9083899350649274E-3</v>
      </c>
    </row>
    <row r="718" spans="1:17" ht="14.4" x14ac:dyDescent="0.3">
      <c r="A718" s="63">
        <v>45252</v>
      </c>
      <c r="B718" s="64">
        <v>17627.69921875</v>
      </c>
      <c r="C718" s="47">
        <f t="shared" si="55"/>
        <v>5.6507619987655744E-6</v>
      </c>
      <c r="D718" s="65">
        <v>583.38371053000003</v>
      </c>
      <c r="E718" s="47">
        <f t="shared" si="56"/>
        <v>1.5946454010569155E-3</v>
      </c>
      <c r="H718" s="65">
        <v>626.80291463000003</v>
      </c>
      <c r="I718" s="47">
        <f t="shared" si="57"/>
        <v>-1.784759862553853E-2</v>
      </c>
      <c r="L718" s="65">
        <v>253.86030747000001</v>
      </c>
      <c r="M718" s="47">
        <f t="shared" si="58"/>
        <v>-9.8991079930125236E-3</v>
      </c>
      <c r="P718" s="65">
        <v>976.94706789999998</v>
      </c>
      <c r="Q718" s="47">
        <f t="shared" si="59"/>
        <v>9.9669361830656555E-3</v>
      </c>
    </row>
    <row r="719" spans="1:17" ht="14.4" x14ac:dyDescent="0.3">
      <c r="A719" s="63">
        <v>45253</v>
      </c>
      <c r="B719" s="64">
        <v>17639.400390629999</v>
      </c>
      <c r="C719" s="47">
        <f t="shared" si="55"/>
        <v>6.6379461861654221E-4</v>
      </c>
      <c r="D719" s="65">
        <v>572.18922552000004</v>
      </c>
      <c r="E719" s="47">
        <f t="shared" si="56"/>
        <v>-1.9188888561577855E-2</v>
      </c>
      <c r="H719" s="65">
        <v>628.90498738999997</v>
      </c>
      <c r="I719" s="47">
        <f t="shared" si="57"/>
        <v>3.3536422868116755E-3</v>
      </c>
      <c r="L719" s="65">
        <v>249.90671509000001</v>
      </c>
      <c r="M719" s="47">
        <f t="shared" si="58"/>
        <v>-1.5573889511920735E-2</v>
      </c>
      <c r="P719" s="65">
        <v>985.11248808000005</v>
      </c>
      <c r="Q719" s="47">
        <f t="shared" si="59"/>
        <v>8.3580988656346555E-3</v>
      </c>
    </row>
    <row r="720" spans="1:17" ht="14.4" x14ac:dyDescent="0.3">
      <c r="A720" s="63">
        <v>45254</v>
      </c>
      <c r="B720" s="64">
        <v>17643.5</v>
      </c>
      <c r="C720" s="47">
        <f t="shared" si="55"/>
        <v>2.3241205932245101E-4</v>
      </c>
      <c r="D720" s="65">
        <v>564.70992775000002</v>
      </c>
      <c r="E720" s="47">
        <f t="shared" si="56"/>
        <v>-1.3071371211512917E-2</v>
      </c>
      <c r="H720" s="65">
        <v>622.25664285000005</v>
      </c>
      <c r="I720" s="47">
        <f t="shared" si="57"/>
        <v>-1.0571301982499781E-2</v>
      </c>
      <c r="L720" s="65">
        <v>250.83411323000001</v>
      </c>
      <c r="M720" s="47">
        <f t="shared" si="58"/>
        <v>3.7109772727235146E-3</v>
      </c>
      <c r="P720" s="65">
        <v>976.16005023000002</v>
      </c>
      <c r="Q720" s="47">
        <f t="shared" si="59"/>
        <v>-9.0877315619544152E-3</v>
      </c>
    </row>
    <row r="721" spans="1:17" ht="14.4" x14ac:dyDescent="0.3">
      <c r="A721" s="63">
        <v>45258</v>
      </c>
      <c r="B721" s="64">
        <v>17741.80078125</v>
      </c>
      <c r="C721" s="47">
        <f t="shared" si="55"/>
        <v>5.5715011902399691E-3</v>
      </c>
      <c r="D721" s="65">
        <v>554.83534469000006</v>
      </c>
      <c r="E721" s="47">
        <f t="shared" si="56"/>
        <v>-1.748611556971158E-2</v>
      </c>
      <c r="H721" s="65">
        <v>618.54139580000003</v>
      </c>
      <c r="I721" s="47">
        <f t="shared" si="57"/>
        <v>-5.9706024719701212E-3</v>
      </c>
      <c r="L721" s="65">
        <v>243.70784777</v>
      </c>
      <c r="M721" s="47">
        <f t="shared" si="58"/>
        <v>-2.8410272304013384E-2</v>
      </c>
      <c r="P721" s="65">
        <v>978.32438569999999</v>
      </c>
      <c r="Q721" s="47">
        <f t="shared" si="59"/>
        <v>2.2171932456056531E-3</v>
      </c>
    </row>
    <row r="722" spans="1:17" ht="14.4" x14ac:dyDescent="0.3">
      <c r="A722" s="63">
        <v>45259</v>
      </c>
      <c r="B722" s="64">
        <v>17904.099609379999</v>
      </c>
      <c r="C722" s="47">
        <f t="shared" si="55"/>
        <v>9.1478215842395461E-3</v>
      </c>
      <c r="D722" s="65">
        <v>567.25193399</v>
      </c>
      <c r="E722" s="47">
        <f t="shared" si="56"/>
        <v>2.2378872252519111E-2</v>
      </c>
      <c r="H722" s="65">
        <v>623.52764199000001</v>
      </c>
      <c r="I722" s="47">
        <f t="shared" si="57"/>
        <v>8.0612974715312813E-3</v>
      </c>
      <c r="L722" s="65">
        <v>248.93051697999999</v>
      </c>
      <c r="M722" s="47">
        <f t="shared" si="58"/>
        <v>2.1430041165227065E-2</v>
      </c>
      <c r="P722" s="65">
        <v>979.65247494000005</v>
      </c>
      <c r="Q722" s="47">
        <f t="shared" si="59"/>
        <v>1.3575141940775914E-3</v>
      </c>
    </row>
    <row r="723" spans="1:17" ht="14.4" x14ac:dyDescent="0.3">
      <c r="A723" s="63">
        <v>45260</v>
      </c>
      <c r="B723" s="64">
        <v>17987.94921875</v>
      </c>
      <c r="C723" s="47">
        <f t="shared" si="55"/>
        <v>4.6832631184687834E-3</v>
      </c>
      <c r="D723" s="65">
        <v>565.44319031999999</v>
      </c>
      <c r="E723" s="47">
        <f t="shared" si="56"/>
        <v>-3.1886073217546329E-3</v>
      </c>
      <c r="H723" s="65">
        <v>648.45897066999999</v>
      </c>
      <c r="I723" s="47">
        <f t="shared" si="57"/>
        <v>3.9984319861796624E-2</v>
      </c>
      <c r="L723" s="65">
        <v>245.07453451999999</v>
      </c>
      <c r="M723" s="47">
        <f t="shared" si="58"/>
        <v>-1.5490195845733967E-2</v>
      </c>
      <c r="P723" s="65">
        <v>979.30817007999997</v>
      </c>
      <c r="Q723" s="47">
        <f t="shared" si="59"/>
        <v>-3.5145612225517819E-4</v>
      </c>
    </row>
    <row r="724" spans="1:17" ht="14.4" x14ac:dyDescent="0.3">
      <c r="A724" s="63">
        <v>45261</v>
      </c>
      <c r="B724" s="64">
        <v>18115.349609379999</v>
      </c>
      <c r="C724" s="47">
        <f t="shared" si="55"/>
        <v>7.0825411546748818E-3</v>
      </c>
      <c r="D724" s="65">
        <v>576.44212887000003</v>
      </c>
      <c r="E724" s="47">
        <f t="shared" si="56"/>
        <v>1.9451889665123456E-2</v>
      </c>
      <c r="H724" s="65">
        <v>653.10304169999995</v>
      </c>
      <c r="I724" s="47">
        <f t="shared" si="57"/>
        <v>7.1617037315432341E-3</v>
      </c>
      <c r="L724" s="65">
        <v>242.97569844</v>
      </c>
      <c r="M724" s="47">
        <f t="shared" si="58"/>
        <v>-8.5640724937445789E-3</v>
      </c>
      <c r="P724" s="65">
        <v>981.12815150999995</v>
      </c>
      <c r="Q724" s="47">
        <f t="shared" si="59"/>
        <v>1.8584358689168745E-3</v>
      </c>
    </row>
    <row r="725" spans="1:17" ht="14.4" x14ac:dyDescent="0.3">
      <c r="A725" s="63">
        <v>45264</v>
      </c>
      <c r="B725" s="64">
        <v>18448.5</v>
      </c>
      <c r="C725" s="47">
        <f t="shared" si="55"/>
        <v>1.8390502960401012E-2</v>
      </c>
      <c r="D725" s="65">
        <v>597.95116426000004</v>
      </c>
      <c r="E725" s="47">
        <f t="shared" si="56"/>
        <v>3.7313434103375176E-2</v>
      </c>
      <c r="H725" s="65">
        <v>680.62529272999996</v>
      </c>
      <c r="I725" s="47">
        <f t="shared" si="57"/>
        <v>4.2140748507862869E-2</v>
      </c>
      <c r="L725" s="65">
        <v>251.22459187999999</v>
      </c>
      <c r="M725" s="47">
        <f t="shared" si="58"/>
        <v>3.3949458702912105E-2</v>
      </c>
      <c r="P725" s="65">
        <v>992.98276311999996</v>
      </c>
      <c r="Q725" s="47">
        <f t="shared" si="59"/>
        <v>1.2082633233747586E-2</v>
      </c>
    </row>
    <row r="726" spans="1:17" ht="14.4" x14ac:dyDescent="0.3">
      <c r="A726" s="63">
        <v>45265</v>
      </c>
      <c r="B726" s="64">
        <v>18588.55078125</v>
      </c>
      <c r="C726" s="47">
        <f t="shared" si="55"/>
        <v>7.591445442718836E-3</v>
      </c>
      <c r="D726" s="65">
        <v>602.64408380999998</v>
      </c>
      <c r="E726" s="47">
        <f t="shared" si="56"/>
        <v>7.8483324901754692E-3</v>
      </c>
      <c r="H726" s="65">
        <v>685.56266373000005</v>
      </c>
      <c r="I726" s="47">
        <f t="shared" si="57"/>
        <v>7.2541691481904369E-3</v>
      </c>
      <c r="L726" s="65">
        <v>253.32340895999999</v>
      </c>
      <c r="M726" s="47">
        <f t="shared" si="58"/>
        <v>8.354345664545848E-3</v>
      </c>
      <c r="P726" s="65">
        <v>1001.88601175</v>
      </c>
      <c r="Q726" s="47">
        <f t="shared" si="59"/>
        <v>8.9661663431352956E-3</v>
      </c>
    </row>
    <row r="727" spans="1:17" ht="14.4" x14ac:dyDescent="0.3">
      <c r="A727" s="63">
        <v>45266</v>
      </c>
      <c r="B727" s="64">
        <v>18680</v>
      </c>
      <c r="C727" s="47">
        <f t="shared" si="55"/>
        <v>4.9196529533783728E-3</v>
      </c>
      <c r="D727" s="65">
        <v>608.95010280999998</v>
      </c>
      <c r="E727" s="47">
        <f t="shared" si="56"/>
        <v>1.0463919201085359E-2</v>
      </c>
      <c r="H727" s="65">
        <v>687.22476209000001</v>
      </c>
      <c r="I727" s="47">
        <f t="shared" si="57"/>
        <v>2.4244295203545985E-3</v>
      </c>
      <c r="L727" s="65">
        <v>247.02693073</v>
      </c>
      <c r="M727" s="47">
        <f t="shared" si="58"/>
        <v>-2.4855493046812005E-2</v>
      </c>
      <c r="P727" s="65">
        <v>1002.77141769</v>
      </c>
      <c r="Q727" s="47">
        <f t="shared" si="59"/>
        <v>8.8373919748963026E-4</v>
      </c>
    </row>
    <row r="728" spans="1:17" ht="14.4" x14ac:dyDescent="0.3">
      <c r="A728" s="63">
        <v>45267</v>
      </c>
      <c r="B728" s="64">
        <v>18703.849609379999</v>
      </c>
      <c r="C728" s="47">
        <f t="shared" si="55"/>
        <v>1.2767456841540348E-3</v>
      </c>
      <c r="D728" s="65">
        <v>615.74501239999995</v>
      </c>
      <c r="E728" s="47">
        <f t="shared" si="56"/>
        <v>1.115840125265577E-2</v>
      </c>
      <c r="H728" s="65">
        <v>692.50430825000001</v>
      </c>
      <c r="I728" s="47">
        <f t="shared" si="57"/>
        <v>7.6824154937953359E-3</v>
      </c>
      <c r="L728" s="65">
        <v>237.16732976</v>
      </c>
      <c r="M728" s="47">
        <f t="shared" si="58"/>
        <v>-3.9913061061251365E-2</v>
      </c>
      <c r="P728" s="65">
        <v>1004.78817567</v>
      </c>
      <c r="Q728" s="47">
        <f t="shared" si="59"/>
        <v>2.0111841486725179E-3</v>
      </c>
    </row>
    <row r="729" spans="1:17" ht="14.4" x14ac:dyDescent="0.3">
      <c r="A729" s="63">
        <v>45268</v>
      </c>
      <c r="B729" s="64">
        <v>18703.5</v>
      </c>
      <c r="C729" s="47">
        <f t="shared" si="55"/>
        <v>-1.8691840840245888E-5</v>
      </c>
      <c r="D729" s="65">
        <v>612.32312041</v>
      </c>
      <c r="E729" s="47">
        <f t="shared" si="56"/>
        <v>-5.5573198663232404E-3</v>
      </c>
      <c r="H729" s="65">
        <v>668.84397869999998</v>
      </c>
      <c r="I729" s="47">
        <f t="shared" si="57"/>
        <v>-3.4166328307460025E-2</v>
      </c>
      <c r="L729" s="65">
        <v>231.21253121000001</v>
      </c>
      <c r="M729" s="47">
        <f t="shared" si="58"/>
        <v>-2.5108005204704686E-2</v>
      </c>
      <c r="P729" s="65">
        <v>999.32817236000005</v>
      </c>
      <c r="Q729" s="47">
        <f t="shared" si="59"/>
        <v>-5.4339844379230895E-3</v>
      </c>
    </row>
    <row r="730" spans="1:17" ht="14.4" x14ac:dyDescent="0.3">
      <c r="A730" s="63">
        <v>45271</v>
      </c>
      <c r="B730" s="64">
        <v>18770.19921875</v>
      </c>
      <c r="C730" s="47">
        <f t="shared" si="55"/>
        <v>3.566135683160887E-3</v>
      </c>
      <c r="D730" s="65">
        <v>604.50165299000003</v>
      </c>
      <c r="E730" s="47">
        <f t="shared" si="56"/>
        <v>-1.2773431476444719E-2</v>
      </c>
      <c r="H730" s="65">
        <v>663.95548286999997</v>
      </c>
      <c r="I730" s="47">
        <f t="shared" si="57"/>
        <v>-7.3088731986516997E-3</v>
      </c>
      <c r="L730" s="65">
        <v>233.70181693999999</v>
      </c>
      <c r="M730" s="47">
        <f t="shared" si="58"/>
        <v>1.0766223253440677E-2</v>
      </c>
      <c r="P730" s="65">
        <v>990.72005904000002</v>
      </c>
      <c r="Q730" s="47">
        <f t="shared" si="59"/>
        <v>-8.6139003763611166E-3</v>
      </c>
    </row>
    <row r="731" spans="1:17" ht="14.4" x14ac:dyDescent="0.3">
      <c r="A731" s="63">
        <v>45272</v>
      </c>
      <c r="B731" s="64">
        <v>18686.80078125</v>
      </c>
      <c r="C731" s="47">
        <f t="shared" si="55"/>
        <v>-4.4431301196148354E-3</v>
      </c>
      <c r="D731" s="65">
        <v>611.83427870000003</v>
      </c>
      <c r="E731" s="47">
        <f t="shared" si="56"/>
        <v>1.2130034175640736E-2</v>
      </c>
      <c r="H731" s="65">
        <v>669.67505231999996</v>
      </c>
      <c r="I731" s="47">
        <f t="shared" si="57"/>
        <v>8.6143869544939022E-3</v>
      </c>
      <c r="L731" s="65">
        <v>227.60057853000001</v>
      </c>
      <c r="M731" s="47">
        <f t="shared" si="58"/>
        <v>-2.6106936137199166E-2</v>
      </c>
      <c r="P731" s="65">
        <v>985.06329886000003</v>
      </c>
      <c r="Q731" s="47">
        <f t="shared" si="59"/>
        <v>-5.7097462884534433E-3</v>
      </c>
    </row>
    <row r="732" spans="1:17" ht="14.4" x14ac:dyDescent="0.3">
      <c r="A732" s="63">
        <v>45273</v>
      </c>
      <c r="B732" s="64">
        <v>18751.44921875</v>
      </c>
      <c r="C732" s="47">
        <f t="shared" si="55"/>
        <v>3.4595776054329175E-3</v>
      </c>
      <c r="D732" s="65">
        <v>613.20305504999999</v>
      </c>
      <c r="E732" s="47">
        <f t="shared" si="56"/>
        <v>2.2371684582764839E-3</v>
      </c>
      <c r="H732" s="65">
        <v>667.13300516000004</v>
      </c>
      <c r="I732" s="47">
        <f t="shared" si="57"/>
        <v>-3.7959412571714202E-3</v>
      </c>
      <c r="L732" s="65">
        <v>225.20890270999999</v>
      </c>
      <c r="M732" s="47">
        <f t="shared" si="58"/>
        <v>-1.0508215029360168E-2</v>
      </c>
      <c r="P732" s="65">
        <v>995.98330547</v>
      </c>
      <c r="Q732" s="47">
        <f t="shared" si="59"/>
        <v>1.1085588735909147E-2</v>
      </c>
    </row>
    <row r="733" spans="1:17" ht="14.4" x14ac:dyDescent="0.3">
      <c r="A733" s="63">
        <v>45274</v>
      </c>
      <c r="B733" s="64">
        <v>18973.849609379999</v>
      </c>
      <c r="C733" s="47">
        <f t="shared" si="55"/>
        <v>1.1860437453955042E-2</v>
      </c>
      <c r="D733" s="65">
        <v>603.62176724000005</v>
      </c>
      <c r="E733" s="47">
        <f t="shared" si="56"/>
        <v>-1.5624983814241933E-2</v>
      </c>
      <c r="H733" s="65">
        <v>662.63560856000004</v>
      </c>
      <c r="I733" s="47">
        <f t="shared" si="57"/>
        <v>-6.7413792530341965E-3</v>
      </c>
      <c r="L733" s="65">
        <v>231.06609134999999</v>
      </c>
      <c r="M733" s="47">
        <f t="shared" si="58"/>
        <v>2.6007802398212876E-2</v>
      </c>
      <c r="P733" s="65">
        <v>989.83465309999997</v>
      </c>
      <c r="Q733" s="47">
        <f t="shared" si="59"/>
        <v>-6.1734492297523813E-3</v>
      </c>
    </row>
    <row r="734" spans="1:17" ht="14.4" x14ac:dyDescent="0.3">
      <c r="A734" s="63">
        <v>45275</v>
      </c>
      <c r="B734" s="64">
        <v>19145.05078125</v>
      </c>
      <c r="C734" s="47">
        <f t="shared" si="55"/>
        <v>9.0230066852308166E-3</v>
      </c>
      <c r="D734" s="65">
        <v>601.47085392999998</v>
      </c>
      <c r="E734" s="47">
        <f t="shared" si="56"/>
        <v>-3.5633461659855259E-3</v>
      </c>
      <c r="H734" s="65">
        <v>657.25826314999995</v>
      </c>
      <c r="I734" s="47">
        <f t="shared" si="57"/>
        <v>-8.1150866940064015E-3</v>
      </c>
      <c r="L734" s="65">
        <v>226.57559044999999</v>
      </c>
      <c r="M734" s="47">
        <f t="shared" si="58"/>
        <v>-1.9433837625262629E-2</v>
      </c>
      <c r="P734" s="65">
        <v>993.03195233999998</v>
      </c>
      <c r="Q734" s="47">
        <f t="shared" si="59"/>
        <v>3.2301346795513552E-3</v>
      </c>
    </row>
    <row r="735" spans="1:17" ht="14.4" x14ac:dyDescent="0.3">
      <c r="A735" s="63">
        <v>45278</v>
      </c>
      <c r="B735" s="64">
        <v>19155.55078125</v>
      </c>
      <c r="C735" s="47">
        <f t="shared" si="55"/>
        <v>5.4844461474523598E-4</v>
      </c>
      <c r="D735" s="65">
        <v>597.41344815000002</v>
      </c>
      <c r="E735" s="47">
        <f t="shared" si="56"/>
        <v>-6.7458061408777192E-3</v>
      </c>
      <c r="H735" s="65">
        <v>653.49414091999995</v>
      </c>
      <c r="I735" s="47">
        <f t="shared" si="57"/>
        <v>-5.727006324667494E-3</v>
      </c>
      <c r="L735" s="65">
        <v>227.25891883</v>
      </c>
      <c r="M735" s="47">
        <f t="shared" si="58"/>
        <v>3.015895836982585E-3</v>
      </c>
      <c r="P735" s="65">
        <v>995.73735938000004</v>
      </c>
      <c r="Q735" s="47">
        <f t="shared" si="59"/>
        <v>2.7243907244123289E-3</v>
      </c>
    </row>
    <row r="736" spans="1:17" ht="14.4" x14ac:dyDescent="0.3">
      <c r="A736" s="63">
        <v>45279</v>
      </c>
      <c r="B736" s="64">
        <v>19169.25</v>
      </c>
      <c r="C736" s="47">
        <f t="shared" si="55"/>
        <v>7.1515660950915994E-4</v>
      </c>
      <c r="D736" s="65">
        <v>601.86189796999997</v>
      </c>
      <c r="E736" s="47">
        <f t="shared" si="56"/>
        <v>7.4461829303900107E-3</v>
      </c>
      <c r="H736" s="65">
        <v>653.54301611000005</v>
      </c>
      <c r="I736" s="47">
        <f t="shared" si="57"/>
        <v>7.4790555782744406E-5</v>
      </c>
      <c r="L736" s="65">
        <v>227.69820842999999</v>
      </c>
      <c r="M736" s="47">
        <f t="shared" si="58"/>
        <v>1.9329916830617133E-3</v>
      </c>
      <c r="P736" s="65">
        <v>991.01519436000001</v>
      </c>
      <c r="Q736" s="47">
        <f t="shared" si="59"/>
        <v>-4.7423800819729189E-3</v>
      </c>
    </row>
    <row r="737" spans="1:17" ht="14.4" x14ac:dyDescent="0.3">
      <c r="A737" s="63">
        <v>45280</v>
      </c>
      <c r="B737" s="64">
        <v>18779.44921875</v>
      </c>
      <c r="C737" s="47">
        <f t="shared" si="55"/>
        <v>-2.0334691302476671E-2</v>
      </c>
      <c r="D737" s="65">
        <v>592.81832626999994</v>
      </c>
      <c r="E737" s="47">
        <f t="shared" si="56"/>
        <v>-1.5025991395206773E-2</v>
      </c>
      <c r="H737" s="65">
        <v>627.19401385000003</v>
      </c>
      <c r="I737" s="47">
        <f t="shared" si="57"/>
        <v>-4.0317165986768266E-2</v>
      </c>
      <c r="L737" s="65">
        <v>209.58973302000001</v>
      </c>
      <c r="M737" s="47">
        <f t="shared" si="58"/>
        <v>-7.9528405317106254E-2</v>
      </c>
      <c r="P737" s="65">
        <v>977.29142193999996</v>
      </c>
      <c r="Q737" s="47">
        <f t="shared" si="59"/>
        <v>-1.3848195767435123E-2</v>
      </c>
    </row>
    <row r="738" spans="1:17" ht="14.4" x14ac:dyDescent="0.3">
      <c r="A738" s="63">
        <v>45281</v>
      </c>
      <c r="B738" s="64">
        <v>18941.80078125</v>
      </c>
      <c r="C738" s="47">
        <f t="shared" si="55"/>
        <v>8.6451716772344422E-3</v>
      </c>
      <c r="D738" s="65">
        <v>583.92142664000005</v>
      </c>
      <c r="E738" s="47">
        <f t="shared" si="56"/>
        <v>-1.5007801270212062E-2</v>
      </c>
      <c r="H738" s="65">
        <v>617.07484706000002</v>
      </c>
      <c r="I738" s="47">
        <f t="shared" si="57"/>
        <v>-1.6134029608930733E-2</v>
      </c>
      <c r="L738" s="65">
        <v>214.37311363000001</v>
      </c>
      <c r="M738" s="47">
        <f t="shared" si="58"/>
        <v>2.2822590310487945E-2</v>
      </c>
      <c r="P738" s="65">
        <v>979.45570823000003</v>
      </c>
      <c r="Q738" s="47">
        <f t="shared" si="59"/>
        <v>2.2145761657292873E-3</v>
      </c>
    </row>
    <row r="739" spans="1:17" ht="14.4" x14ac:dyDescent="0.3">
      <c r="A739" s="63">
        <v>45282</v>
      </c>
      <c r="B739" s="64">
        <v>19054.69921875</v>
      </c>
      <c r="C739" s="47">
        <f t="shared" si="55"/>
        <v>5.960280060159695E-3</v>
      </c>
      <c r="D739" s="65">
        <v>585.38795177999998</v>
      </c>
      <c r="E739" s="47">
        <f t="shared" si="56"/>
        <v>2.5115110922349082E-3</v>
      </c>
      <c r="H739" s="65">
        <v>617.07484706000002</v>
      </c>
      <c r="I739" s="47">
        <f t="shared" si="57"/>
        <v>0</v>
      </c>
      <c r="L739" s="65">
        <v>220.47435204000001</v>
      </c>
      <c r="M739" s="47">
        <f t="shared" si="58"/>
        <v>2.8460837773390368E-2</v>
      </c>
      <c r="P739" s="65">
        <v>992.93357390000006</v>
      </c>
      <c r="Q739" s="47">
        <f t="shared" si="59"/>
        <v>1.3760566768614924E-2</v>
      </c>
    </row>
    <row r="740" spans="1:17" ht="14.4" x14ac:dyDescent="0.3">
      <c r="A740" s="63">
        <v>45286</v>
      </c>
      <c r="B740" s="64">
        <v>19148.849609379999</v>
      </c>
      <c r="C740" s="47">
        <f t="shared" si="55"/>
        <v>4.941058872099946E-3</v>
      </c>
      <c r="D740" s="65">
        <v>579.37517915000001</v>
      </c>
      <c r="E740" s="47">
        <f t="shared" si="56"/>
        <v>-1.0271432153184601E-2</v>
      </c>
      <c r="H740" s="65">
        <v>626.31406504999995</v>
      </c>
      <c r="I740" s="47">
        <f t="shared" si="57"/>
        <v>1.4972605080274093E-2</v>
      </c>
      <c r="L740" s="65">
        <v>219.59576385</v>
      </c>
      <c r="M740" s="47">
        <f t="shared" si="58"/>
        <v>-3.9849904620226084E-3</v>
      </c>
      <c r="P740" s="65">
        <v>978.66869055999996</v>
      </c>
      <c r="Q740" s="47">
        <f t="shared" si="59"/>
        <v>-1.4366402461315819E-2</v>
      </c>
    </row>
    <row r="741" spans="1:17" ht="14.4" x14ac:dyDescent="0.3">
      <c r="A741" s="63">
        <v>45287</v>
      </c>
      <c r="B741" s="64">
        <v>19296.94921875</v>
      </c>
      <c r="C741" s="47">
        <f t="shared" si="55"/>
        <v>7.7341256728788998E-3</v>
      </c>
      <c r="D741" s="65">
        <v>576.88209618999997</v>
      </c>
      <c r="E741" s="47">
        <f t="shared" si="56"/>
        <v>-4.3030544795820136E-3</v>
      </c>
      <c r="H741" s="65">
        <v>634.67343201000006</v>
      </c>
      <c r="I741" s="47">
        <f t="shared" si="57"/>
        <v>1.3346925171371815E-2</v>
      </c>
      <c r="L741" s="65">
        <v>225.59939234999999</v>
      </c>
      <c r="M741" s="47">
        <f t="shared" si="58"/>
        <v>2.7339454981931688E-2</v>
      </c>
      <c r="P741" s="65">
        <v>996.96708984999998</v>
      </c>
      <c r="Q741" s="47">
        <f t="shared" si="59"/>
        <v>1.8697235812795476E-2</v>
      </c>
    </row>
    <row r="742" spans="1:17" ht="14.4" x14ac:dyDescent="0.3">
      <c r="A742" s="63">
        <v>45288</v>
      </c>
      <c r="B742" s="64">
        <v>19399.25</v>
      </c>
      <c r="C742" s="47">
        <f t="shared" si="55"/>
        <v>5.3013966140615931E-3</v>
      </c>
      <c r="D742" s="65">
        <v>577.66423314999997</v>
      </c>
      <c r="E742" s="47">
        <f t="shared" si="56"/>
        <v>1.3558003709346345E-3</v>
      </c>
      <c r="H742" s="65">
        <v>642.93495084000006</v>
      </c>
      <c r="I742" s="47">
        <f t="shared" si="57"/>
        <v>1.301696024022303E-2</v>
      </c>
      <c r="L742" s="65">
        <v>226.42915059000001</v>
      </c>
      <c r="M742" s="47">
        <f t="shared" si="58"/>
        <v>3.6780162896570268E-3</v>
      </c>
      <c r="P742" s="65">
        <v>981.12815150999995</v>
      </c>
      <c r="Q742" s="47">
        <f t="shared" si="59"/>
        <v>-1.5887122555252153E-2</v>
      </c>
    </row>
    <row r="743" spans="1:17" ht="14.4" x14ac:dyDescent="0.3">
      <c r="A743" s="63">
        <v>45289</v>
      </c>
      <c r="B743" s="64">
        <v>19429.150390629999</v>
      </c>
      <c r="C743" s="47">
        <f t="shared" si="55"/>
        <v>1.5413168359601492E-3</v>
      </c>
      <c r="D743" s="65">
        <v>576.05108483000004</v>
      </c>
      <c r="E743" s="47">
        <f t="shared" si="56"/>
        <v>-2.792536264887735E-3</v>
      </c>
      <c r="H743" s="65">
        <v>693.38425704999997</v>
      </c>
      <c r="I743" s="47">
        <f t="shared" si="57"/>
        <v>7.8467201299427636E-2</v>
      </c>
      <c r="L743" s="65">
        <v>223.11007663000001</v>
      </c>
      <c r="M743" s="47">
        <f t="shared" si="58"/>
        <v>-1.4658333308019689E-2</v>
      </c>
      <c r="P743" s="65">
        <v>972.27409209999996</v>
      </c>
      <c r="Q743" s="47">
        <f t="shared" si="59"/>
        <v>-9.0243658755211342E-3</v>
      </c>
    </row>
    <row r="744" spans="1:17" ht="14.4" x14ac:dyDescent="0.3">
      <c r="A744" s="63">
        <v>45292</v>
      </c>
      <c r="B744" s="64">
        <v>19469.5</v>
      </c>
      <c r="C744" s="47">
        <f t="shared" si="55"/>
        <v>2.0767562430037412E-3</v>
      </c>
      <c r="D744" s="65">
        <v>592.03618930000005</v>
      </c>
      <c r="E744" s="47">
        <f t="shared" si="56"/>
        <v>2.7749456412737183E-2</v>
      </c>
      <c r="H744" s="65">
        <v>700.17927601999997</v>
      </c>
      <c r="I744" s="47">
        <f t="shared" si="57"/>
        <v>9.7997883582032763E-3</v>
      </c>
      <c r="L744" s="65">
        <v>230.13870320000001</v>
      </c>
      <c r="M744" s="47">
        <f t="shared" si="58"/>
        <v>3.1502954398855199E-2</v>
      </c>
      <c r="P744" s="65">
        <v>976.60276304000001</v>
      </c>
      <c r="Q744" s="47">
        <f t="shared" si="59"/>
        <v>4.4521097241732033E-3</v>
      </c>
    </row>
    <row r="745" spans="1:17" ht="14.4" x14ac:dyDescent="0.3">
      <c r="A745" s="63">
        <v>45293</v>
      </c>
      <c r="B745" s="64">
        <v>19418.400390629999</v>
      </c>
      <c r="C745" s="47">
        <f t="shared" si="55"/>
        <v>-2.6245979285549614E-3</v>
      </c>
      <c r="D745" s="65">
        <v>588.07658119999996</v>
      </c>
      <c r="E745" s="47">
        <f t="shared" si="56"/>
        <v>-6.6881183474303274E-3</v>
      </c>
      <c r="H745" s="65">
        <v>685.12268932999996</v>
      </c>
      <c r="I745" s="47">
        <f t="shared" si="57"/>
        <v>-2.1503902222850035E-2</v>
      </c>
      <c r="L745" s="65">
        <v>224.37914447</v>
      </c>
      <c r="M745" s="47">
        <f t="shared" si="58"/>
        <v>-2.5026467299568922E-2</v>
      </c>
      <c r="P745" s="65">
        <v>978.91463666000004</v>
      </c>
      <c r="Q745" s="47">
        <f t="shared" si="59"/>
        <v>2.367260986241293E-3</v>
      </c>
    </row>
    <row r="746" spans="1:17" ht="14.4" x14ac:dyDescent="0.3">
      <c r="A746" s="63">
        <v>45294</v>
      </c>
      <c r="B746" s="64">
        <v>19367.150390629999</v>
      </c>
      <c r="C746" s="47">
        <f t="shared" si="55"/>
        <v>-2.6392493186374599E-3</v>
      </c>
      <c r="D746" s="65">
        <v>583.72588017999999</v>
      </c>
      <c r="E746" s="47">
        <f t="shared" si="56"/>
        <v>-7.3981878535651635E-3</v>
      </c>
      <c r="H746" s="65">
        <v>695.68183052999996</v>
      </c>
      <c r="I746" s="47">
        <f t="shared" si="57"/>
        <v>1.5412044243237721E-2</v>
      </c>
      <c r="L746" s="65">
        <v>227.89344825000001</v>
      </c>
      <c r="M746" s="47">
        <f t="shared" si="58"/>
        <v>1.5662345929257526E-2</v>
      </c>
      <c r="P746" s="65">
        <v>995.49141327999996</v>
      </c>
      <c r="Q746" s="47">
        <f t="shared" si="59"/>
        <v>1.6933832633822865E-2</v>
      </c>
    </row>
    <row r="747" spans="1:17" ht="14.4" x14ac:dyDescent="0.3">
      <c r="A747" s="63">
        <v>45295</v>
      </c>
      <c r="B747" s="64">
        <v>19541.25</v>
      </c>
      <c r="C747" s="47">
        <f t="shared" si="55"/>
        <v>8.989428277183853E-3</v>
      </c>
      <c r="D747" s="65">
        <v>577.51760996999997</v>
      </c>
      <c r="E747" s="47">
        <f t="shared" si="56"/>
        <v>-1.063559184335916E-2</v>
      </c>
      <c r="H747" s="65">
        <v>722.32413276</v>
      </c>
      <c r="I747" s="47">
        <f t="shared" si="57"/>
        <v>3.8296676815179787E-2</v>
      </c>
      <c r="L747" s="65">
        <v>233.75063689000001</v>
      </c>
      <c r="M747" s="47">
        <f t="shared" si="58"/>
        <v>2.570143496874322E-2</v>
      </c>
      <c r="P747" s="65">
        <v>1005.42763551</v>
      </c>
      <c r="Q747" s="47">
        <f t="shared" si="59"/>
        <v>9.9812234414575762E-3</v>
      </c>
    </row>
    <row r="748" spans="1:17" ht="14.4" x14ac:dyDescent="0.3">
      <c r="A748" s="63">
        <v>45296</v>
      </c>
      <c r="B748" s="64">
        <v>19590.599609379999</v>
      </c>
      <c r="C748" s="47">
        <f t="shared" si="55"/>
        <v>2.5254069918760891E-3</v>
      </c>
      <c r="D748" s="65">
        <v>590.81408501999999</v>
      </c>
      <c r="E748" s="47">
        <f t="shared" si="56"/>
        <v>2.3023497154815331E-2</v>
      </c>
      <c r="H748" s="65">
        <v>735.86529551000001</v>
      </c>
      <c r="I748" s="47">
        <f t="shared" si="57"/>
        <v>1.8746656986606824E-2</v>
      </c>
      <c r="L748" s="65">
        <v>235.16611359999999</v>
      </c>
      <c r="M748" s="47">
        <f t="shared" si="58"/>
        <v>6.0554988377039543E-3</v>
      </c>
      <c r="P748" s="65">
        <v>1009.70709756</v>
      </c>
      <c r="Q748" s="47">
        <f t="shared" si="59"/>
        <v>4.2563600788925182E-3</v>
      </c>
    </row>
    <row r="749" spans="1:17" ht="14.4" x14ac:dyDescent="0.3">
      <c r="A749" s="63">
        <v>45299</v>
      </c>
      <c r="B749" s="64">
        <v>19417.69921875</v>
      </c>
      <c r="C749" s="47">
        <f t="shared" si="55"/>
        <v>-8.825681402176877E-3</v>
      </c>
      <c r="D749" s="65">
        <v>598.58667804000004</v>
      </c>
      <c r="E749" s="47">
        <f t="shared" si="56"/>
        <v>1.3155734125290808E-2</v>
      </c>
      <c r="H749" s="65">
        <v>721.29755840999997</v>
      </c>
      <c r="I749" s="47">
        <f t="shared" si="57"/>
        <v>-1.9796744307534864E-2</v>
      </c>
      <c r="L749" s="65">
        <v>254.78770562</v>
      </c>
      <c r="M749" s="47">
        <f t="shared" si="58"/>
        <v>8.3437157333708711E-2</v>
      </c>
      <c r="P749" s="65">
        <v>1010.00223288</v>
      </c>
      <c r="Q749" s="47">
        <f t="shared" si="59"/>
        <v>2.9229795523200153E-4</v>
      </c>
    </row>
    <row r="750" spans="1:17" ht="14.4" x14ac:dyDescent="0.3">
      <c r="A750" s="63">
        <v>45300</v>
      </c>
      <c r="B750" s="64">
        <v>19459.55078125</v>
      </c>
      <c r="C750" s="47">
        <f t="shared" si="55"/>
        <v>2.1553306613992795E-3</v>
      </c>
      <c r="D750" s="65">
        <v>594.43152348000001</v>
      </c>
      <c r="E750" s="47">
        <f t="shared" si="56"/>
        <v>-6.9416088136233789E-3</v>
      </c>
      <c r="H750" s="65">
        <v>717.72893691000002</v>
      </c>
      <c r="I750" s="47">
        <f t="shared" si="57"/>
        <v>-4.947502536770676E-3</v>
      </c>
      <c r="L750" s="65">
        <v>259.42464661999998</v>
      </c>
      <c r="M750" s="47">
        <f t="shared" si="58"/>
        <v>1.8199233706023721E-2</v>
      </c>
      <c r="P750" s="65">
        <v>1021.41413167</v>
      </c>
      <c r="Q750" s="47">
        <f t="shared" si="59"/>
        <v>1.1298884713808244E-2</v>
      </c>
    </row>
    <row r="751" spans="1:17" ht="14.4" x14ac:dyDescent="0.3">
      <c r="A751" s="63">
        <v>45301</v>
      </c>
      <c r="B751" s="64">
        <v>19517.849609379999</v>
      </c>
      <c r="C751" s="47">
        <f t="shared" si="55"/>
        <v>2.9958979415996012E-3</v>
      </c>
      <c r="D751" s="65">
        <v>595.36033251000003</v>
      </c>
      <c r="E751" s="47">
        <f t="shared" si="56"/>
        <v>1.5625164435466576E-3</v>
      </c>
      <c r="H751" s="65">
        <v>723.20408155999996</v>
      </c>
      <c r="I751" s="47">
        <f t="shared" si="57"/>
        <v>7.628429576173712E-3</v>
      </c>
      <c r="L751" s="65">
        <v>249.95551523</v>
      </c>
      <c r="M751" s="47">
        <f t="shared" si="58"/>
        <v>-3.6500508002503596E-2</v>
      </c>
      <c r="P751" s="65">
        <v>1027.0217026400001</v>
      </c>
      <c r="Q751" s="47">
        <f t="shared" si="59"/>
        <v>5.4900072322592308E-3</v>
      </c>
    </row>
    <row r="752" spans="1:17" ht="14.4" x14ac:dyDescent="0.3">
      <c r="A752" s="63">
        <v>45302</v>
      </c>
      <c r="B752" s="64">
        <v>19584.349609379999</v>
      </c>
      <c r="C752" s="47">
        <f t="shared" si="55"/>
        <v>3.4071376371320738E-3</v>
      </c>
      <c r="D752" s="65">
        <v>591.98731491000001</v>
      </c>
      <c r="E752" s="47">
        <f t="shared" si="56"/>
        <v>-5.6655061075023827E-3</v>
      </c>
      <c r="H752" s="65">
        <v>726.96820378999996</v>
      </c>
      <c r="I752" s="47">
        <f t="shared" si="57"/>
        <v>5.2047856559112038E-3</v>
      </c>
      <c r="L752" s="65">
        <v>253.66508755999999</v>
      </c>
      <c r="M752" s="47">
        <f t="shared" si="58"/>
        <v>1.4840930101448491E-2</v>
      </c>
      <c r="P752" s="65">
        <v>1042.27036051</v>
      </c>
      <c r="Q752" s="47">
        <f t="shared" si="59"/>
        <v>1.4847454372972635E-2</v>
      </c>
    </row>
    <row r="753" spans="1:17" ht="14.4" x14ac:dyDescent="0.3">
      <c r="A753" s="63">
        <v>45303</v>
      </c>
      <c r="B753" s="64">
        <v>19745.599609379999</v>
      </c>
      <c r="C753" s="47">
        <f t="shared" si="55"/>
        <v>8.233615270162975E-3</v>
      </c>
      <c r="D753" s="65">
        <v>596.33801592999998</v>
      </c>
      <c r="E753" s="47">
        <f t="shared" si="56"/>
        <v>7.3493146059411263E-3</v>
      </c>
      <c r="H753" s="65">
        <v>718.51113535000002</v>
      </c>
      <c r="I753" s="47">
        <f t="shared" si="57"/>
        <v>-1.1633340214757149E-2</v>
      </c>
      <c r="L753" s="65">
        <v>260.39503993</v>
      </c>
      <c r="M753" s="47">
        <f t="shared" si="58"/>
        <v>2.6530857812304021E-2</v>
      </c>
      <c r="P753" s="65">
        <v>1021.95521308</v>
      </c>
      <c r="Q753" s="47">
        <f t="shared" si="59"/>
        <v>-1.9491245457713524E-2</v>
      </c>
    </row>
    <row r="754" spans="1:17" ht="14.4" x14ac:dyDescent="0.3">
      <c r="A754" s="63">
        <v>45306</v>
      </c>
      <c r="B754" s="64">
        <v>19885.55078125</v>
      </c>
      <c r="C754" s="47">
        <f t="shared" si="55"/>
        <v>7.0877144598595621E-3</v>
      </c>
      <c r="D754" s="65">
        <v>606.70144070000003</v>
      </c>
      <c r="E754" s="47">
        <f t="shared" si="56"/>
        <v>1.7378440570886777E-2</v>
      </c>
      <c r="H754" s="65">
        <v>714.60033868999994</v>
      </c>
      <c r="I754" s="47">
        <f t="shared" si="57"/>
        <v>-5.4429172598626785E-3</v>
      </c>
      <c r="L754" s="65">
        <v>262.54378130999999</v>
      </c>
      <c r="M754" s="47">
        <f t="shared" si="58"/>
        <v>8.2518521880357021E-3</v>
      </c>
      <c r="P754" s="65">
        <v>1015.16710087</v>
      </c>
      <c r="Q754" s="47">
        <f t="shared" si="59"/>
        <v>-6.6422795472041996E-3</v>
      </c>
    </row>
    <row r="755" spans="1:17" ht="14.4" x14ac:dyDescent="0.3">
      <c r="A755" s="63">
        <v>45307</v>
      </c>
      <c r="B755" s="64">
        <v>19827.55078125</v>
      </c>
      <c r="C755" s="47">
        <f t="shared" si="55"/>
        <v>-2.9166906483016897E-3</v>
      </c>
      <c r="D755" s="65">
        <v>611.14989051999999</v>
      </c>
      <c r="E755" s="47">
        <f t="shared" si="56"/>
        <v>7.3321893135236405E-3</v>
      </c>
      <c r="H755" s="65">
        <v>731.27009966000003</v>
      </c>
      <c r="I755" s="47">
        <f t="shared" si="57"/>
        <v>2.332739024523689E-2</v>
      </c>
      <c r="L755" s="65">
        <v>252.05001569999999</v>
      </c>
      <c r="M755" s="47">
        <f t="shared" si="58"/>
        <v>-3.9969583578174483E-2</v>
      </c>
      <c r="P755" s="65">
        <v>1040.1060348799999</v>
      </c>
      <c r="Q755" s="47">
        <f t="shared" si="59"/>
        <v>2.4566333945049257E-2</v>
      </c>
    </row>
    <row r="756" spans="1:17" ht="14.4" x14ac:dyDescent="0.3">
      <c r="A756" s="63">
        <v>45308</v>
      </c>
      <c r="B756" s="64">
        <v>19487.599609379999</v>
      </c>
      <c r="C756" s="47">
        <f t="shared" si="55"/>
        <v>-1.7145394084249532E-2</v>
      </c>
      <c r="D756" s="65">
        <v>601.47085392999998</v>
      </c>
      <c r="E756" s="47">
        <f t="shared" si="56"/>
        <v>-1.583741851244469E-2</v>
      </c>
      <c r="H756" s="65">
        <v>720.07543444999999</v>
      </c>
      <c r="I756" s="47">
        <f t="shared" si="57"/>
        <v>-1.5308523095918902E-2</v>
      </c>
      <c r="L756" s="65">
        <v>250.70082855000001</v>
      </c>
      <c r="M756" s="47">
        <f t="shared" si="58"/>
        <v>-5.3528548540374699E-3</v>
      </c>
      <c r="P756" s="65">
        <v>1017.77412947</v>
      </c>
      <c r="Q756" s="47">
        <f t="shared" si="59"/>
        <v>-2.1470796881374099E-2</v>
      </c>
    </row>
    <row r="757" spans="1:17" ht="14.4" x14ac:dyDescent="0.3">
      <c r="A757" s="63">
        <v>45309</v>
      </c>
      <c r="B757" s="64">
        <v>19414.80078125</v>
      </c>
      <c r="C757" s="47">
        <f t="shared" si="55"/>
        <v>-3.735648801762026E-3</v>
      </c>
      <c r="D757" s="65">
        <v>607.63024973999995</v>
      </c>
      <c r="E757" s="47">
        <f t="shared" si="56"/>
        <v>1.0240555747222935E-2</v>
      </c>
      <c r="H757" s="65">
        <v>703.84564788</v>
      </c>
      <c r="I757" s="47">
        <f t="shared" si="57"/>
        <v>-2.2539008822591522E-2</v>
      </c>
      <c r="L757" s="65">
        <v>251.75018412</v>
      </c>
      <c r="M757" s="47">
        <f t="shared" si="58"/>
        <v>4.1856884800470784E-3</v>
      </c>
      <c r="P757" s="65">
        <v>1011.03520647</v>
      </c>
      <c r="Q757" s="47">
        <f t="shared" si="59"/>
        <v>-6.6212362889487286E-3</v>
      </c>
    </row>
    <row r="758" spans="1:17" ht="14.4" x14ac:dyDescent="0.3">
      <c r="A758" s="63">
        <v>45310</v>
      </c>
      <c r="B758" s="64">
        <v>19606.400390629999</v>
      </c>
      <c r="C758" s="47">
        <f t="shared" si="55"/>
        <v>9.8687393982963556E-3</v>
      </c>
      <c r="D758" s="65">
        <v>611.10101612999995</v>
      </c>
      <c r="E758" s="47">
        <f t="shared" si="56"/>
        <v>5.7119710407522728E-3</v>
      </c>
      <c r="H758" s="65">
        <v>710.59174278</v>
      </c>
      <c r="I758" s="47">
        <f t="shared" si="57"/>
        <v>9.5846225949103303E-3</v>
      </c>
      <c r="L758" s="65">
        <v>247.75256293000001</v>
      </c>
      <c r="M758" s="47">
        <f t="shared" si="58"/>
        <v>-1.5879317840317708E-2</v>
      </c>
      <c r="P758" s="65">
        <v>1016.59358822</v>
      </c>
      <c r="Q758" s="47">
        <f t="shared" si="59"/>
        <v>5.4977133480909046E-3</v>
      </c>
    </row>
    <row r="759" spans="1:17" ht="14.4" x14ac:dyDescent="0.3">
      <c r="A759" s="63">
        <v>45311</v>
      </c>
      <c r="B759" s="64">
        <v>19601.900390629999</v>
      </c>
      <c r="C759" s="47">
        <f t="shared" si="55"/>
        <v>-2.2951688787042901E-4</v>
      </c>
      <c r="D759" s="65">
        <v>603.18179992</v>
      </c>
      <c r="E759" s="47">
        <f t="shared" si="56"/>
        <v>-1.2958931503912363E-2</v>
      </c>
      <c r="H759" s="65">
        <v>706.97424609999996</v>
      </c>
      <c r="I759" s="47">
        <f t="shared" si="57"/>
        <v>-5.0908228483594886E-3</v>
      </c>
      <c r="L759" s="65">
        <v>241.40634929999999</v>
      </c>
      <c r="M759" s="47">
        <f t="shared" si="58"/>
        <v>-2.561512807354116E-2</v>
      </c>
      <c r="P759" s="65">
        <v>1019.24980604</v>
      </c>
      <c r="Q759" s="47">
        <f t="shared" si="59"/>
        <v>2.612861079176021E-3</v>
      </c>
    </row>
    <row r="760" spans="1:17" ht="14.4" x14ac:dyDescent="0.3">
      <c r="A760" s="63">
        <v>45314</v>
      </c>
      <c r="B760" s="64">
        <v>19206.44921875</v>
      </c>
      <c r="C760" s="47">
        <f t="shared" si="55"/>
        <v>-2.0174124140995509E-2</v>
      </c>
      <c r="D760" s="65">
        <v>604.30610652999997</v>
      </c>
      <c r="E760" s="47">
        <f t="shared" si="56"/>
        <v>1.8639597715797152E-3</v>
      </c>
      <c r="H760" s="65">
        <v>705.99654694000003</v>
      </c>
      <c r="I760" s="47">
        <f t="shared" si="57"/>
        <v>-1.3829346194622616E-3</v>
      </c>
      <c r="L760" s="65">
        <v>234.66036355</v>
      </c>
      <c r="M760" s="47">
        <f t="shared" si="58"/>
        <v>-2.7944524945433979E-2</v>
      </c>
      <c r="P760" s="65">
        <v>1003.3124991</v>
      </c>
      <c r="Q760" s="47">
        <f t="shared" si="59"/>
        <v>-1.5636310986332003E-2</v>
      </c>
    </row>
    <row r="761" spans="1:17" ht="14.4" x14ac:dyDescent="0.3">
      <c r="A761" s="63">
        <v>45315</v>
      </c>
      <c r="B761" s="64">
        <v>19451</v>
      </c>
      <c r="C761" s="47">
        <f t="shared" si="55"/>
        <v>1.2732742969026267E-2</v>
      </c>
      <c r="D761" s="65">
        <v>610.02558391000002</v>
      </c>
      <c r="E761" s="47">
        <f t="shared" si="56"/>
        <v>9.4645367938477332E-3</v>
      </c>
      <c r="H761" s="65">
        <v>720.85758400999998</v>
      </c>
      <c r="I761" s="47">
        <f t="shared" si="57"/>
        <v>2.104973053255299E-2</v>
      </c>
      <c r="L761" s="65">
        <v>236.80908493000001</v>
      </c>
      <c r="M761" s="47">
        <f t="shared" si="58"/>
        <v>9.1567291019822861E-3</v>
      </c>
      <c r="P761" s="65">
        <v>1017.3314265</v>
      </c>
      <c r="Q761" s="47">
        <f t="shared" si="59"/>
        <v>1.3972643032530208E-2</v>
      </c>
    </row>
    <row r="762" spans="1:17" ht="14.4" x14ac:dyDescent="0.3">
      <c r="A762" s="63">
        <v>45316</v>
      </c>
      <c r="B762" s="64">
        <v>19393</v>
      </c>
      <c r="C762" s="47">
        <f t="shared" si="55"/>
        <v>-2.9818518328106336E-3</v>
      </c>
      <c r="D762" s="65">
        <v>602.20411650000005</v>
      </c>
      <c r="E762" s="47">
        <f t="shared" si="56"/>
        <v>-1.2821539975205187E-2</v>
      </c>
      <c r="H762" s="65">
        <v>728.19032774000004</v>
      </c>
      <c r="I762" s="47">
        <f t="shared" si="57"/>
        <v>1.0172250237292735E-2</v>
      </c>
      <c r="L762" s="65">
        <v>240.80670612</v>
      </c>
      <c r="M762" s="47">
        <f t="shared" si="58"/>
        <v>1.6881198587383794E-2</v>
      </c>
      <c r="P762" s="65">
        <v>1018.41358932</v>
      </c>
      <c r="Q762" s="47">
        <f t="shared" si="59"/>
        <v>1.0637269151538842E-3</v>
      </c>
    </row>
    <row r="763" spans="1:17" ht="14.4" x14ac:dyDescent="0.3">
      <c r="A763" s="63">
        <v>45320</v>
      </c>
      <c r="B763" s="64">
        <v>19711.650390629999</v>
      </c>
      <c r="C763" s="47">
        <f t="shared" si="55"/>
        <v>1.6431206653431563E-2</v>
      </c>
      <c r="D763" s="65">
        <v>609.78116305000003</v>
      </c>
      <c r="E763" s="47">
        <f t="shared" si="56"/>
        <v>1.2582189896073182E-2</v>
      </c>
      <c r="H763" s="65">
        <v>741.87811604000001</v>
      </c>
      <c r="I763" s="47">
        <f t="shared" si="57"/>
        <v>1.8796992734689599E-2</v>
      </c>
      <c r="L763" s="65">
        <v>237.40872811</v>
      </c>
      <c r="M763" s="47">
        <f t="shared" si="58"/>
        <v>-1.4110811383744037E-2</v>
      </c>
      <c r="P763" s="65">
        <v>1021.95521308</v>
      </c>
      <c r="Q763" s="47">
        <f t="shared" si="59"/>
        <v>3.4775888667832877E-3</v>
      </c>
    </row>
    <row r="764" spans="1:17" ht="14.4" x14ac:dyDescent="0.3">
      <c r="A764" s="63">
        <v>45321</v>
      </c>
      <c r="B764" s="64">
        <v>19574.19921875</v>
      </c>
      <c r="C764" s="47">
        <f t="shared" si="55"/>
        <v>-6.9730930265147206E-3</v>
      </c>
      <c r="D764" s="65">
        <v>614.71845457999996</v>
      </c>
      <c r="E764" s="47">
        <f t="shared" si="56"/>
        <v>8.096825269748642E-3</v>
      </c>
      <c r="H764" s="65">
        <v>748.72201018999999</v>
      </c>
      <c r="I764" s="47">
        <f t="shared" si="57"/>
        <v>9.225092373032151E-3</v>
      </c>
      <c r="L764" s="65">
        <v>236.20945175</v>
      </c>
      <c r="M764" s="47">
        <f t="shared" si="58"/>
        <v>-5.0515259887342623E-3</v>
      </c>
      <c r="P764" s="65">
        <v>1027.9071085800001</v>
      </c>
      <c r="Q764" s="47">
        <f t="shared" si="59"/>
        <v>5.8240277301997434E-3</v>
      </c>
    </row>
    <row r="765" spans="1:17" ht="14.4" x14ac:dyDescent="0.3">
      <c r="A765" s="63">
        <v>45322</v>
      </c>
      <c r="B765" s="64">
        <v>19802.099609379999</v>
      </c>
      <c r="C765" s="47">
        <f t="shared" si="55"/>
        <v>1.1642897269161123E-2</v>
      </c>
      <c r="D765" s="65">
        <v>642.97352517000002</v>
      </c>
      <c r="E765" s="47">
        <f t="shared" si="56"/>
        <v>4.5964246525354469E-2</v>
      </c>
      <c r="H765" s="65">
        <v>777.56413553000004</v>
      </c>
      <c r="I765" s="47">
        <f t="shared" si="57"/>
        <v>3.8521807757035065E-2</v>
      </c>
      <c r="L765" s="65">
        <v>271.23858739000002</v>
      </c>
      <c r="M765" s="47">
        <f t="shared" si="58"/>
        <v>0.14829692622577295</v>
      </c>
      <c r="P765" s="65">
        <v>1030.85846171</v>
      </c>
      <c r="Q765" s="47">
        <f t="shared" si="59"/>
        <v>2.8712255274476739E-3</v>
      </c>
    </row>
    <row r="766" spans="1:17" ht="14.4" x14ac:dyDescent="0.3">
      <c r="A766" s="63">
        <v>45323</v>
      </c>
      <c r="B766" s="64">
        <v>19777.349609379999</v>
      </c>
      <c r="C766" s="47">
        <f t="shared" si="55"/>
        <v>-1.2498674629570772E-3</v>
      </c>
      <c r="D766" s="65">
        <v>646.05319863</v>
      </c>
      <c r="E766" s="47">
        <f t="shared" si="56"/>
        <v>4.7897360302444625E-3</v>
      </c>
      <c r="H766" s="65">
        <v>784.89687927</v>
      </c>
      <c r="I766" s="47">
        <f t="shared" si="57"/>
        <v>9.4304037505559268E-3</v>
      </c>
      <c r="L766" s="65">
        <v>295.82396768000001</v>
      </c>
      <c r="M766" s="47">
        <f t="shared" si="58"/>
        <v>9.0641160339955285E-2</v>
      </c>
      <c r="P766" s="65">
        <v>1033.31792266</v>
      </c>
      <c r="Q766" s="47">
        <f t="shared" si="59"/>
        <v>2.3858376696255235E-3</v>
      </c>
    </row>
    <row r="767" spans="1:17" ht="14.4" x14ac:dyDescent="0.3">
      <c r="A767" s="63">
        <v>45324</v>
      </c>
      <c r="B767" s="64">
        <v>19910.80078125</v>
      </c>
      <c r="C767" s="47">
        <f t="shared" si="55"/>
        <v>6.7476772421874998E-3</v>
      </c>
      <c r="D767" s="65">
        <v>651.33270869</v>
      </c>
      <c r="E767" s="47">
        <f t="shared" si="56"/>
        <v>8.1719432257212343E-3</v>
      </c>
      <c r="H767" s="65">
        <v>815.05892781</v>
      </c>
      <c r="I767" s="47">
        <f t="shared" si="57"/>
        <v>3.842803983123555E-2</v>
      </c>
      <c r="L767" s="65">
        <v>284.18090597000003</v>
      </c>
      <c r="M767" s="47">
        <f t="shared" si="58"/>
        <v>-3.9358074334918558E-2</v>
      </c>
      <c r="P767" s="65">
        <v>1040.54873785</v>
      </c>
      <c r="Q767" s="47">
        <f t="shared" si="59"/>
        <v>6.9976674471938782E-3</v>
      </c>
    </row>
    <row r="768" spans="1:17" ht="14.4" x14ac:dyDescent="0.3">
      <c r="A768" s="63">
        <v>45327</v>
      </c>
      <c r="B768" s="64">
        <v>19853.5</v>
      </c>
      <c r="C768" s="47">
        <f t="shared" si="55"/>
        <v>-2.8778742693241766E-3</v>
      </c>
      <c r="D768" s="65">
        <v>637.64514071999997</v>
      </c>
      <c r="E768" s="47">
        <f t="shared" si="56"/>
        <v>-2.1014709974460422E-2</v>
      </c>
      <c r="H768" s="65">
        <v>836.47051018000002</v>
      </c>
      <c r="I768" s="47">
        <f t="shared" si="57"/>
        <v>2.6269980782286817E-2</v>
      </c>
      <c r="L768" s="65">
        <v>294.72461185999998</v>
      </c>
      <c r="M768" s="47">
        <f t="shared" si="58"/>
        <v>3.710209119789698E-2</v>
      </c>
      <c r="P768" s="65">
        <v>1045.4676597499999</v>
      </c>
      <c r="Q768" s="47">
        <f t="shared" si="59"/>
        <v>4.7272383513372596E-3</v>
      </c>
    </row>
    <row r="769" spans="1:17" ht="14.4" x14ac:dyDescent="0.3">
      <c r="A769" s="63">
        <v>45328</v>
      </c>
      <c r="B769" s="64">
        <v>20033.75</v>
      </c>
      <c r="C769" s="47">
        <f t="shared" si="55"/>
        <v>9.0790037021180048E-3</v>
      </c>
      <c r="D769" s="65">
        <v>644.39112703000001</v>
      </c>
      <c r="E769" s="47">
        <f t="shared" si="56"/>
        <v>1.0579530649889035E-2</v>
      </c>
      <c r="H769" s="65">
        <v>861.84181326999999</v>
      </c>
      <c r="I769" s="47">
        <f t="shared" si="57"/>
        <v>3.033137783248363E-2</v>
      </c>
      <c r="L769" s="65">
        <v>293.17555363000002</v>
      </c>
      <c r="M769" s="47">
        <f t="shared" si="58"/>
        <v>-5.2559513785560563E-3</v>
      </c>
      <c r="P769" s="65">
        <v>1048.1730667899999</v>
      </c>
      <c r="Q769" s="47">
        <f t="shared" si="59"/>
        <v>2.5877481859619689E-3</v>
      </c>
    </row>
    <row r="770" spans="1:17" ht="14.4" x14ac:dyDescent="0.3">
      <c r="A770" s="63">
        <v>45329</v>
      </c>
      <c r="B770" s="64">
        <v>20109.55078125</v>
      </c>
      <c r="C770" s="47">
        <f t="shared" si="55"/>
        <v>3.7836541461284678E-3</v>
      </c>
      <c r="D770" s="65">
        <v>638.67169853999997</v>
      </c>
      <c r="E770" s="47">
        <f t="shared" si="56"/>
        <v>-8.8757095653394513E-3</v>
      </c>
      <c r="H770" s="65">
        <v>830.06659043000002</v>
      </c>
      <c r="I770" s="47">
        <f t="shared" si="57"/>
        <v>-3.686897334377226E-2</v>
      </c>
      <c r="L770" s="65">
        <v>319.21004161000002</v>
      </c>
      <c r="M770" s="47">
        <f t="shared" si="58"/>
        <v>8.8801701429910507E-2</v>
      </c>
      <c r="P770" s="65">
        <v>1028.7925145199999</v>
      </c>
      <c r="Q770" s="47">
        <f t="shared" si="59"/>
        <v>-1.8489839973996225E-2</v>
      </c>
    </row>
    <row r="771" spans="1:17" ht="14.4" x14ac:dyDescent="0.3">
      <c r="A771" s="63">
        <v>45330</v>
      </c>
      <c r="B771" s="64">
        <v>19987.55078125</v>
      </c>
      <c r="C771" s="47">
        <f t="shared" si="55"/>
        <v>-6.0667690356241977E-3</v>
      </c>
      <c r="D771" s="65">
        <v>645.90657544999999</v>
      </c>
      <c r="E771" s="47">
        <f t="shared" si="56"/>
        <v>1.1328006120419731E-2</v>
      </c>
      <c r="H771" s="65">
        <v>830.84873998</v>
      </c>
      <c r="I771" s="47">
        <f t="shared" si="57"/>
        <v>9.4227325737183953E-4</v>
      </c>
      <c r="L771" s="65">
        <v>312.96375850999999</v>
      </c>
      <c r="M771" s="47">
        <f t="shared" si="58"/>
        <v>-1.9567940496156178E-2</v>
      </c>
      <c r="P771" s="65">
        <v>1000.01682143</v>
      </c>
      <c r="Q771" s="47">
        <f t="shared" si="59"/>
        <v>-2.7970356202898339E-2</v>
      </c>
    </row>
    <row r="772" spans="1:17" ht="14.4" x14ac:dyDescent="0.3">
      <c r="A772" s="63">
        <v>45331</v>
      </c>
      <c r="B772" s="64">
        <v>19961.5</v>
      </c>
      <c r="C772" s="47">
        <f t="shared" ref="C772:C835" si="60">B772/B771-1</f>
        <v>-1.3033503471789887E-3</v>
      </c>
      <c r="D772" s="65">
        <v>644.14670617000002</v>
      </c>
      <c r="E772" s="47">
        <f t="shared" ref="E772:E835" si="61">D772/D771-1</f>
        <v>-2.7246498903867877E-3</v>
      </c>
      <c r="H772" s="65">
        <v>858.12656621999997</v>
      </c>
      <c r="I772" s="47">
        <f t="shared" ref="I772:I835" si="62">H772/H771-1</f>
        <v>3.2831278339131353E-2</v>
      </c>
      <c r="L772" s="65">
        <v>301.62050840000001</v>
      </c>
      <c r="M772" s="47">
        <f t="shared" ref="M772:M835" si="63">L772/L771-1</f>
        <v>-3.6244612360244122E-2</v>
      </c>
      <c r="P772" s="65">
        <v>1000.50871362</v>
      </c>
      <c r="Q772" s="47">
        <f t="shared" ref="Q772:Q835" si="64">P772/P771-1</f>
        <v>4.9188391580901047E-4</v>
      </c>
    </row>
    <row r="773" spans="1:17" ht="14.4" x14ac:dyDescent="0.3">
      <c r="A773" s="63">
        <v>45334</v>
      </c>
      <c r="B773" s="64">
        <v>19675.19921875</v>
      </c>
      <c r="C773" s="47">
        <f t="shared" si="60"/>
        <v>-1.4342648661172741E-2</v>
      </c>
      <c r="D773" s="65">
        <v>640.38264452999999</v>
      </c>
      <c r="E773" s="47">
        <f t="shared" si="61"/>
        <v>-5.8434850383394243E-3</v>
      </c>
      <c r="H773" s="65">
        <v>846.83415064999997</v>
      </c>
      <c r="I773" s="47">
        <f t="shared" si="62"/>
        <v>-1.3159382327181057E-2</v>
      </c>
      <c r="L773" s="65">
        <v>281.93224405000001</v>
      </c>
      <c r="M773" s="47">
        <f t="shared" si="63"/>
        <v>-6.5274952470705361E-2</v>
      </c>
      <c r="P773" s="65">
        <v>994.70438578000005</v>
      </c>
      <c r="Q773" s="47">
        <f t="shared" si="64"/>
        <v>-5.8013766007084522E-3</v>
      </c>
    </row>
    <row r="774" spans="1:17" ht="14.4" x14ac:dyDescent="0.3">
      <c r="A774" s="63">
        <v>45335</v>
      </c>
      <c r="B774" s="64">
        <v>19782.900390629999</v>
      </c>
      <c r="C774" s="47">
        <f t="shared" si="60"/>
        <v>5.4739558508440922E-3</v>
      </c>
      <c r="D774" s="65">
        <v>657.68765096000004</v>
      </c>
      <c r="E774" s="47">
        <f t="shared" si="61"/>
        <v>2.7022916029682209E-2</v>
      </c>
      <c r="H774" s="65">
        <v>879.97812298999997</v>
      </c>
      <c r="I774" s="47">
        <f t="shared" si="62"/>
        <v>3.9138681776779816E-2</v>
      </c>
      <c r="L774" s="65">
        <v>280.38314585000001</v>
      </c>
      <c r="M774" s="47">
        <f t="shared" si="63"/>
        <v>-5.4945762064919634E-3</v>
      </c>
      <c r="P774" s="65">
        <v>1004.44385113</v>
      </c>
      <c r="Q774" s="47">
        <f t="shared" si="64"/>
        <v>9.7913163842771045E-3</v>
      </c>
    </row>
    <row r="775" spans="1:17" ht="14.4" x14ac:dyDescent="0.3">
      <c r="A775" s="63">
        <v>45336</v>
      </c>
      <c r="B775" s="64">
        <v>19922.30078125</v>
      </c>
      <c r="C775" s="47">
        <f t="shared" si="60"/>
        <v>7.0465092512939087E-3</v>
      </c>
      <c r="D775" s="65">
        <v>680.12549538999997</v>
      </c>
      <c r="E775" s="47">
        <f t="shared" si="61"/>
        <v>3.4116262327942959E-2</v>
      </c>
      <c r="H775" s="65">
        <v>969.82869573000005</v>
      </c>
      <c r="I775" s="47">
        <f t="shared" si="62"/>
        <v>0.10210546193433157</v>
      </c>
      <c r="L775" s="65">
        <v>286.22966683999999</v>
      </c>
      <c r="M775" s="47">
        <f t="shared" si="63"/>
        <v>2.0851898826785398E-2</v>
      </c>
      <c r="P775" s="65">
        <v>1010.88763882</v>
      </c>
      <c r="Q775" s="47">
        <f t="shared" si="64"/>
        <v>6.4152791445244439E-3</v>
      </c>
    </row>
    <row r="776" spans="1:17" ht="14.4" x14ac:dyDescent="0.3">
      <c r="A776" s="63">
        <v>45337</v>
      </c>
      <c r="B776" s="64">
        <v>20037</v>
      </c>
      <c r="C776" s="47">
        <f t="shared" si="60"/>
        <v>5.7573279316187609E-3</v>
      </c>
      <c r="D776" s="65">
        <v>673.62388104000001</v>
      </c>
      <c r="E776" s="47">
        <f t="shared" si="61"/>
        <v>-9.5594333605620863E-3</v>
      </c>
      <c r="H776" s="65">
        <v>943.08859426000004</v>
      </c>
      <c r="I776" s="47">
        <f t="shared" si="62"/>
        <v>-2.757198419445861E-2</v>
      </c>
      <c r="L776" s="65">
        <v>287.92867582999997</v>
      </c>
      <c r="M776" s="47">
        <f t="shared" si="63"/>
        <v>5.9358242238032322E-3</v>
      </c>
      <c r="P776" s="65">
        <v>1011.72385554</v>
      </c>
      <c r="Q776" s="47">
        <f t="shared" si="64"/>
        <v>8.2721035245425512E-4</v>
      </c>
    </row>
    <row r="777" spans="1:17" ht="14.4" x14ac:dyDescent="0.3">
      <c r="A777" s="63">
        <v>45338</v>
      </c>
      <c r="B777" s="64">
        <v>20164.900390629999</v>
      </c>
      <c r="C777" s="47">
        <f t="shared" si="60"/>
        <v>6.383210591904831E-3</v>
      </c>
      <c r="D777" s="65">
        <v>653.63024518999998</v>
      </c>
      <c r="E777" s="47">
        <f t="shared" si="61"/>
        <v>-2.9680711169461693E-2</v>
      </c>
      <c r="H777" s="65">
        <v>938.24902251000003</v>
      </c>
      <c r="I777" s="47">
        <f t="shared" si="62"/>
        <v>-5.1316194252114533E-3</v>
      </c>
      <c r="L777" s="65">
        <v>322.30820802</v>
      </c>
      <c r="M777" s="47">
        <f t="shared" si="63"/>
        <v>0.11940294620150493</v>
      </c>
      <c r="P777" s="65">
        <v>1003.75520207</v>
      </c>
      <c r="Q777" s="47">
        <f t="shared" si="64"/>
        <v>-7.8763127175121017E-3</v>
      </c>
    </row>
    <row r="778" spans="1:17" ht="14.4" x14ac:dyDescent="0.3">
      <c r="A778" s="63">
        <v>45341</v>
      </c>
      <c r="B778" s="64">
        <v>20241.099609379999</v>
      </c>
      <c r="C778" s="47">
        <f t="shared" si="60"/>
        <v>3.778804619605669E-3</v>
      </c>
      <c r="D778" s="65">
        <v>652.50593858000002</v>
      </c>
      <c r="E778" s="47">
        <f t="shared" si="61"/>
        <v>-1.7200957548608731E-3</v>
      </c>
      <c r="H778" s="65">
        <v>928.08093164000002</v>
      </c>
      <c r="I778" s="47">
        <f t="shared" si="62"/>
        <v>-1.0837305050207635E-2</v>
      </c>
      <c r="L778" s="65">
        <v>338.04884143999999</v>
      </c>
      <c r="M778" s="47">
        <f t="shared" si="63"/>
        <v>4.883720931805513E-2</v>
      </c>
      <c r="P778" s="65">
        <v>1013.6914243</v>
      </c>
      <c r="Q778" s="47">
        <f t="shared" si="64"/>
        <v>9.8990492995791879E-3</v>
      </c>
    </row>
    <row r="779" spans="1:17" ht="14.4" x14ac:dyDescent="0.3">
      <c r="A779" s="63">
        <v>45342</v>
      </c>
      <c r="B779" s="64">
        <v>20271.900390629999</v>
      </c>
      <c r="C779" s="47">
        <f t="shared" si="60"/>
        <v>1.5216950582925826E-3</v>
      </c>
      <c r="D779" s="65">
        <v>640.67593978000002</v>
      </c>
      <c r="E779" s="47">
        <f t="shared" si="61"/>
        <v>-1.8130101353168948E-2</v>
      </c>
      <c r="H779" s="65">
        <v>902.85630298000001</v>
      </c>
      <c r="I779" s="47">
        <f t="shared" si="62"/>
        <v>-2.7179341585464867E-2</v>
      </c>
      <c r="L779" s="65">
        <v>329.0042335</v>
      </c>
      <c r="M779" s="47">
        <f t="shared" si="63"/>
        <v>-2.6755328908900644E-2</v>
      </c>
      <c r="P779" s="65">
        <v>1005.82114926</v>
      </c>
      <c r="Q779" s="47">
        <f t="shared" si="64"/>
        <v>-7.7639751618050479E-3</v>
      </c>
    </row>
    <row r="780" spans="1:17" ht="14.4" x14ac:dyDescent="0.3">
      <c r="A780" s="63">
        <v>45343</v>
      </c>
      <c r="B780" s="64">
        <v>20128.30078125</v>
      </c>
      <c r="C780" s="47">
        <f t="shared" si="60"/>
        <v>-7.0836777318801225E-3</v>
      </c>
      <c r="D780" s="65">
        <v>640.52931660000002</v>
      </c>
      <c r="E780" s="47">
        <f t="shared" si="61"/>
        <v>-2.2885701006714054E-4</v>
      </c>
      <c r="H780" s="65">
        <v>892.15048736000006</v>
      </c>
      <c r="I780" s="47">
        <f t="shared" si="62"/>
        <v>-1.1857718204617895E-2</v>
      </c>
      <c r="L780" s="65">
        <v>322.75795040000003</v>
      </c>
      <c r="M780" s="47">
        <f t="shared" si="63"/>
        <v>-1.8985418617721184E-2</v>
      </c>
      <c r="P780" s="65">
        <v>1014.42926258</v>
      </c>
      <c r="Q780" s="47">
        <f t="shared" si="64"/>
        <v>8.5582942119810657E-3</v>
      </c>
    </row>
    <row r="781" spans="1:17" ht="14.4" x14ac:dyDescent="0.3">
      <c r="A781" s="63">
        <v>45344</v>
      </c>
      <c r="B781" s="64">
        <v>20283.94921875</v>
      </c>
      <c r="C781" s="47">
        <f t="shared" si="60"/>
        <v>7.7328155611122718E-3</v>
      </c>
      <c r="D781" s="65">
        <v>648.74182805999999</v>
      </c>
      <c r="E781" s="47">
        <f t="shared" si="61"/>
        <v>1.2821445087935812E-2</v>
      </c>
      <c r="H781" s="65">
        <v>918.01064002999999</v>
      </c>
      <c r="I781" s="47">
        <f t="shared" si="62"/>
        <v>2.8986312327782038E-2</v>
      </c>
      <c r="L781" s="65">
        <v>337.39923799000002</v>
      </c>
      <c r="M781" s="47">
        <f t="shared" si="63"/>
        <v>4.5363057894793224E-2</v>
      </c>
      <c r="P781" s="65">
        <v>1002.32871472</v>
      </c>
      <c r="Q781" s="47">
        <f t="shared" si="64"/>
        <v>-1.1928429419735598E-2</v>
      </c>
    </row>
    <row r="782" spans="1:17" ht="14.4" x14ac:dyDescent="0.3">
      <c r="A782" s="63">
        <v>45345</v>
      </c>
      <c r="B782" s="64">
        <v>20313.5</v>
      </c>
      <c r="C782" s="47">
        <f t="shared" si="60"/>
        <v>1.4568554146587864E-3</v>
      </c>
      <c r="D782" s="65">
        <v>661.64725907000002</v>
      </c>
      <c r="E782" s="47">
        <f t="shared" si="61"/>
        <v>1.9893015143778392E-2</v>
      </c>
      <c r="H782" s="65">
        <v>964.30467590000001</v>
      </c>
      <c r="I782" s="47">
        <f t="shared" si="62"/>
        <v>5.0428648483297644E-2</v>
      </c>
      <c r="L782" s="65">
        <v>353.48966325999999</v>
      </c>
      <c r="M782" s="47">
        <f t="shared" si="63"/>
        <v>4.7689572050772844E-2</v>
      </c>
      <c r="P782" s="65">
        <v>987.71951668999998</v>
      </c>
      <c r="Q782" s="47">
        <f t="shared" si="64"/>
        <v>-1.4575256415836679E-2</v>
      </c>
    </row>
    <row r="783" spans="1:17" ht="14.4" x14ac:dyDescent="0.3">
      <c r="A783" s="63">
        <v>45348</v>
      </c>
      <c r="B783" s="64">
        <v>20255.80078125</v>
      </c>
      <c r="C783" s="47">
        <f t="shared" si="60"/>
        <v>-2.8404370861742079E-3</v>
      </c>
      <c r="D783" s="65">
        <v>656.07445375999998</v>
      </c>
      <c r="E783" s="47">
        <f t="shared" si="61"/>
        <v>-8.4226228305291917E-3</v>
      </c>
      <c r="H783" s="65">
        <v>971.53966926999999</v>
      </c>
      <c r="I783" s="47">
        <f t="shared" si="62"/>
        <v>7.5028085529580402E-3</v>
      </c>
      <c r="L783" s="65">
        <v>365.28263576000001</v>
      </c>
      <c r="M783" s="47">
        <f t="shared" si="63"/>
        <v>3.3361576661793402E-2</v>
      </c>
      <c r="P783" s="65">
        <v>987.91627356000004</v>
      </c>
      <c r="Q783" s="47">
        <f t="shared" si="64"/>
        <v>1.9920318134380999E-4</v>
      </c>
    </row>
    <row r="784" spans="1:17" ht="14.4" x14ac:dyDescent="0.3">
      <c r="A784" s="63">
        <v>45349</v>
      </c>
      <c r="B784" s="64">
        <v>20292.849609379999</v>
      </c>
      <c r="C784" s="47">
        <f t="shared" si="60"/>
        <v>1.8290478135178923E-3</v>
      </c>
      <c r="D784" s="65">
        <v>682.03193896000005</v>
      </c>
      <c r="E784" s="47">
        <f t="shared" si="61"/>
        <v>3.956484672011884E-2</v>
      </c>
      <c r="H784" s="65">
        <v>962.93592639999997</v>
      </c>
      <c r="I784" s="47">
        <f t="shared" si="62"/>
        <v>-8.8557813356862081E-3</v>
      </c>
      <c r="L784" s="65">
        <v>350.94115977000001</v>
      </c>
      <c r="M784" s="47">
        <f t="shared" si="63"/>
        <v>-3.9261313257229924E-2</v>
      </c>
      <c r="P784" s="65">
        <v>1013.34709977</v>
      </c>
      <c r="Q784" s="47">
        <f t="shared" si="64"/>
        <v>2.5741884095459744E-2</v>
      </c>
    </row>
    <row r="785" spans="1:17" ht="14.4" x14ac:dyDescent="0.3">
      <c r="A785" s="63">
        <v>45350</v>
      </c>
      <c r="B785" s="64">
        <v>20020.400390629999</v>
      </c>
      <c r="C785" s="47">
        <f t="shared" si="60"/>
        <v>-1.3425872856420606E-2</v>
      </c>
      <c r="D785" s="65">
        <v>710.82472566000001</v>
      </c>
      <c r="E785" s="47">
        <f t="shared" si="61"/>
        <v>4.2216185277048401E-2</v>
      </c>
      <c r="H785" s="65">
        <v>959.22063046999995</v>
      </c>
      <c r="I785" s="47">
        <f t="shared" si="62"/>
        <v>-3.8583002546076495E-3</v>
      </c>
      <c r="L785" s="65">
        <v>331.90250886000001</v>
      </c>
      <c r="M785" s="47">
        <f t="shared" si="63"/>
        <v>-5.4250264980253537E-2</v>
      </c>
      <c r="P785" s="65">
        <v>988.21140888000002</v>
      </c>
      <c r="Q785" s="47">
        <f t="shared" si="64"/>
        <v>-2.4804621136928384E-2</v>
      </c>
    </row>
    <row r="786" spans="1:17" ht="14.4" x14ac:dyDescent="0.3">
      <c r="A786" s="63">
        <v>45351</v>
      </c>
      <c r="B786" s="64">
        <v>20090.05078125</v>
      </c>
      <c r="C786" s="47">
        <f t="shared" si="60"/>
        <v>3.4789709127196478E-3</v>
      </c>
      <c r="D786" s="65">
        <v>710.43368162000002</v>
      </c>
      <c r="E786" s="47">
        <f t="shared" si="61"/>
        <v>-5.5012723373815131E-4</v>
      </c>
      <c r="H786" s="65">
        <v>944.65294226000003</v>
      </c>
      <c r="I786" s="47">
        <f t="shared" si="62"/>
        <v>-1.5187004686150307E-2</v>
      </c>
      <c r="L786" s="65">
        <v>331.95245913999997</v>
      </c>
      <c r="M786" s="47">
        <f t="shared" si="63"/>
        <v>1.5049684370116445E-4</v>
      </c>
      <c r="P786" s="65">
        <v>979.65247494000005</v>
      </c>
      <c r="Q786" s="47">
        <f t="shared" si="64"/>
        <v>-8.6610353443503652E-3</v>
      </c>
    </row>
    <row r="787" spans="1:17" ht="14.4" x14ac:dyDescent="0.3">
      <c r="A787" s="63">
        <v>45352</v>
      </c>
      <c r="B787" s="64">
        <v>20349.80078125</v>
      </c>
      <c r="C787" s="47">
        <f t="shared" si="60"/>
        <v>1.2929285387492495E-2</v>
      </c>
      <c r="D787" s="65">
        <v>698.75035489000004</v>
      </c>
      <c r="E787" s="47">
        <f t="shared" si="61"/>
        <v>-1.6445344628591485E-2</v>
      </c>
      <c r="H787" s="65">
        <v>949.39476364999996</v>
      </c>
      <c r="I787" s="47">
        <f t="shared" si="62"/>
        <v>5.0196439113983082E-3</v>
      </c>
      <c r="L787" s="65">
        <v>335.25051660000003</v>
      </c>
      <c r="M787" s="47">
        <f t="shared" si="63"/>
        <v>9.9353307053198225E-3</v>
      </c>
      <c r="P787" s="65">
        <v>1003.21412066</v>
      </c>
      <c r="Q787" s="47">
        <f t="shared" si="64"/>
        <v>2.4051024544640809E-2</v>
      </c>
    </row>
    <row r="788" spans="1:17" ht="14.4" x14ac:dyDescent="0.3">
      <c r="A788" s="63">
        <v>45353</v>
      </c>
      <c r="B788" s="64">
        <v>20421.349609379999</v>
      </c>
      <c r="C788" s="47">
        <f t="shared" si="60"/>
        <v>3.5159473500065985E-3</v>
      </c>
      <c r="D788" s="65">
        <v>704.86087630999998</v>
      </c>
      <c r="E788" s="47">
        <f t="shared" si="61"/>
        <v>8.7449278232736294E-3</v>
      </c>
      <c r="H788" s="65">
        <v>959.95390483999995</v>
      </c>
      <c r="I788" s="47">
        <f t="shared" si="62"/>
        <v>1.1121971169721689E-2</v>
      </c>
      <c r="L788" s="65">
        <v>342.49620499999997</v>
      </c>
      <c r="M788" s="47">
        <f t="shared" si="63"/>
        <v>2.1612758344068617E-2</v>
      </c>
      <c r="P788" s="65">
        <v>993.81897984</v>
      </c>
      <c r="Q788" s="47">
        <f t="shared" si="64"/>
        <v>-9.3650404500079665E-3</v>
      </c>
    </row>
    <row r="789" spans="1:17" ht="14.4" x14ac:dyDescent="0.3">
      <c r="A789" s="63">
        <v>45355</v>
      </c>
      <c r="B789" s="64">
        <v>20432.05078125</v>
      </c>
      <c r="C789" s="47">
        <f t="shared" si="60"/>
        <v>5.240188368884624E-4</v>
      </c>
      <c r="D789" s="65">
        <v>713.80665033000002</v>
      </c>
      <c r="E789" s="47">
        <f t="shared" si="61"/>
        <v>1.2691545694565765E-2</v>
      </c>
      <c r="H789" s="65">
        <v>976.67258988000003</v>
      </c>
      <c r="I789" s="47">
        <f t="shared" si="62"/>
        <v>1.7416133166088477E-2</v>
      </c>
      <c r="L789" s="65">
        <v>329.15414429999998</v>
      </c>
      <c r="M789" s="47">
        <f t="shared" si="63"/>
        <v>-3.8955353388514191E-2</v>
      </c>
      <c r="P789" s="65">
        <v>984.47302823999996</v>
      </c>
      <c r="Q789" s="47">
        <f t="shared" si="64"/>
        <v>-9.4040783981652609E-3</v>
      </c>
    </row>
    <row r="790" spans="1:17" ht="14.4" x14ac:dyDescent="0.3">
      <c r="A790" s="63">
        <v>45356</v>
      </c>
      <c r="B790" s="64">
        <v>20382</v>
      </c>
      <c r="C790" s="47">
        <f t="shared" si="60"/>
        <v>-2.4496210285426256E-3</v>
      </c>
      <c r="D790" s="65">
        <v>707.79392658999996</v>
      </c>
      <c r="E790" s="47">
        <f t="shared" si="61"/>
        <v>-8.4234627643499094E-3</v>
      </c>
      <c r="H790" s="65">
        <v>980.97445643000003</v>
      </c>
      <c r="I790" s="47">
        <f t="shared" si="62"/>
        <v>4.4046148060001844E-3</v>
      </c>
      <c r="L790" s="65">
        <v>316.06192492000002</v>
      </c>
      <c r="M790" s="47">
        <f t="shared" si="63"/>
        <v>-3.977534418666584E-2</v>
      </c>
      <c r="P790" s="65">
        <v>986.73573231</v>
      </c>
      <c r="Q790" s="47">
        <f t="shared" si="64"/>
        <v>2.2983911240770372E-3</v>
      </c>
    </row>
    <row r="791" spans="1:17" ht="14.4" x14ac:dyDescent="0.3">
      <c r="A791" s="63">
        <v>45357</v>
      </c>
      <c r="B791" s="64">
        <v>20379.55078125</v>
      </c>
      <c r="C791" s="47">
        <f t="shared" si="60"/>
        <v>-1.2016577126872097E-4</v>
      </c>
      <c r="D791" s="65">
        <v>684.67169398999999</v>
      </c>
      <c r="E791" s="47">
        <f t="shared" si="61"/>
        <v>-3.2668029113216535E-2</v>
      </c>
      <c r="H791" s="65">
        <v>963.76695113999995</v>
      </c>
      <c r="I791" s="47">
        <f t="shared" si="62"/>
        <v>-1.7541236856077114E-2</v>
      </c>
      <c r="L791" s="65">
        <v>309.76568155000001</v>
      </c>
      <c r="M791" s="47">
        <f t="shared" si="63"/>
        <v>-1.9920916989902171E-2</v>
      </c>
      <c r="P791" s="65">
        <v>973.30705585999999</v>
      </c>
      <c r="Q791" s="47">
        <f t="shared" si="64"/>
        <v>-1.3609192421321081E-2</v>
      </c>
    </row>
    <row r="792" spans="1:17" ht="14.4" x14ac:dyDescent="0.3">
      <c r="A792" s="63">
        <v>45358</v>
      </c>
      <c r="B792" s="64">
        <v>20434.80078125</v>
      </c>
      <c r="C792" s="47">
        <f t="shared" si="60"/>
        <v>2.7110509251671022E-3</v>
      </c>
      <c r="D792" s="65">
        <v>686.52931205000004</v>
      </c>
      <c r="E792" s="47">
        <f t="shared" si="61"/>
        <v>2.7131515386222826E-3</v>
      </c>
      <c r="H792" s="65">
        <v>1027.7084764799999</v>
      </c>
      <c r="I792" s="47">
        <f t="shared" si="62"/>
        <v>6.6345422266623988E-2</v>
      </c>
      <c r="L792" s="65">
        <v>308.66633573000001</v>
      </c>
      <c r="M792" s="47">
        <f t="shared" si="63"/>
        <v>-3.5489593763231575E-3</v>
      </c>
      <c r="P792" s="65">
        <v>978.61951118000002</v>
      </c>
      <c r="Q792" s="47">
        <f t="shared" si="64"/>
        <v>5.4581493969609873E-3</v>
      </c>
    </row>
    <row r="793" spans="1:17" ht="14.4" x14ac:dyDescent="0.3">
      <c r="A793" s="63">
        <v>45362</v>
      </c>
      <c r="B793" s="64">
        <v>20288.75</v>
      </c>
      <c r="C793" s="47">
        <f t="shared" si="60"/>
        <v>-7.1471595350226513E-3</v>
      </c>
      <c r="D793" s="65">
        <v>731.69829615000003</v>
      </c>
      <c r="E793" s="47">
        <f t="shared" si="61"/>
        <v>6.5793234618233276E-2</v>
      </c>
      <c r="H793" s="65">
        <v>1082.75293943</v>
      </c>
      <c r="I793" s="47">
        <f t="shared" si="62"/>
        <v>5.3560386247404113E-2</v>
      </c>
      <c r="L793" s="65">
        <v>293.17555363000002</v>
      </c>
      <c r="M793" s="47">
        <f t="shared" si="63"/>
        <v>-5.0186172921527383E-2</v>
      </c>
      <c r="P793" s="65">
        <v>965.73195549000002</v>
      </c>
      <c r="Q793" s="47">
        <f t="shared" si="64"/>
        <v>-1.316911786733177E-2</v>
      </c>
    </row>
    <row r="794" spans="1:17" ht="14.4" x14ac:dyDescent="0.3">
      <c r="A794" s="63">
        <v>45363</v>
      </c>
      <c r="B794" s="64">
        <v>20171.400390629999</v>
      </c>
      <c r="C794" s="47">
        <f t="shared" si="60"/>
        <v>-5.783974338981035E-3</v>
      </c>
      <c r="D794" s="65">
        <v>718.89061392999997</v>
      </c>
      <c r="E794" s="47">
        <f t="shared" si="61"/>
        <v>-1.7504048167654163E-2</v>
      </c>
      <c r="H794" s="65">
        <v>1039.78306116</v>
      </c>
      <c r="I794" s="47">
        <f t="shared" si="62"/>
        <v>-3.9685764596142148E-2</v>
      </c>
      <c r="L794" s="65">
        <v>287.07917133000001</v>
      </c>
      <c r="M794" s="47">
        <f t="shared" si="63"/>
        <v>-2.0794306430112264E-2</v>
      </c>
      <c r="P794" s="65">
        <v>938.92383115999996</v>
      </c>
      <c r="Q794" s="47">
        <f t="shared" si="64"/>
        <v>-2.7759384141325172E-2</v>
      </c>
    </row>
    <row r="795" spans="1:17" ht="14.4" x14ac:dyDescent="0.3">
      <c r="A795" s="63">
        <v>45364</v>
      </c>
      <c r="B795" s="64">
        <v>19646.30078125</v>
      </c>
      <c r="C795" s="47">
        <f t="shared" si="60"/>
        <v>-2.603188669161105E-2</v>
      </c>
      <c r="D795" s="65">
        <v>674.30826922000006</v>
      </c>
      <c r="E795" s="47">
        <f t="shared" si="61"/>
        <v>-6.2015477523456708E-2</v>
      </c>
      <c r="H795" s="65">
        <v>972.02851884999995</v>
      </c>
      <c r="I795" s="47">
        <f t="shared" si="62"/>
        <v>-6.5162190884713866E-2</v>
      </c>
      <c r="L795" s="65">
        <v>257.94651693999998</v>
      </c>
      <c r="M795" s="47">
        <f t="shared" si="63"/>
        <v>-0.10147951262027222</v>
      </c>
      <c r="P795" s="65">
        <v>906.40971807000005</v>
      </c>
      <c r="Q795" s="47">
        <f t="shared" si="64"/>
        <v>-3.4629127529791304E-2</v>
      </c>
    </row>
    <row r="796" spans="1:17" ht="14.4" x14ac:dyDescent="0.3">
      <c r="A796" s="63">
        <v>45365</v>
      </c>
      <c r="B796" s="64">
        <v>19916.349609379999</v>
      </c>
      <c r="C796" s="47">
        <f t="shared" si="60"/>
        <v>1.3745530577834231E-2</v>
      </c>
      <c r="D796" s="65">
        <v>670.00644259000001</v>
      </c>
      <c r="E796" s="47">
        <f t="shared" si="61"/>
        <v>-6.3796142304114456E-3</v>
      </c>
      <c r="H796" s="65">
        <v>1001.359484</v>
      </c>
      <c r="I796" s="47">
        <f t="shared" si="62"/>
        <v>3.0175004725891519E-2</v>
      </c>
      <c r="L796" s="65">
        <v>260.49498046000002</v>
      </c>
      <c r="M796" s="47">
        <f t="shared" si="63"/>
        <v>9.8798136537461279E-3</v>
      </c>
      <c r="P796" s="65">
        <v>940.54704587000003</v>
      </c>
      <c r="Q796" s="47">
        <f t="shared" si="64"/>
        <v>3.7662137904575843E-2</v>
      </c>
    </row>
    <row r="797" spans="1:17" ht="14.4" x14ac:dyDescent="0.3">
      <c r="A797" s="63">
        <v>45366</v>
      </c>
      <c r="B797" s="64">
        <v>19825.19921875</v>
      </c>
      <c r="C797" s="47">
        <f t="shared" si="60"/>
        <v>-4.5766615076424655E-3</v>
      </c>
      <c r="D797" s="65">
        <v>650.74606930000004</v>
      </c>
      <c r="E797" s="47">
        <f t="shared" si="61"/>
        <v>-2.874654938472887E-2</v>
      </c>
      <c r="H797" s="65">
        <v>1007.47010378</v>
      </c>
      <c r="I797" s="47">
        <f t="shared" si="62"/>
        <v>6.1023237684740828E-3</v>
      </c>
      <c r="L797" s="65">
        <v>255.24810266</v>
      </c>
      <c r="M797" s="47">
        <f t="shared" si="63"/>
        <v>-2.0141953563691417E-2</v>
      </c>
      <c r="P797" s="65">
        <v>914.37840105999999</v>
      </c>
      <c r="Q797" s="47">
        <f t="shared" si="64"/>
        <v>-2.782279198569404E-2</v>
      </c>
    </row>
    <row r="798" spans="1:17" ht="14.4" x14ac:dyDescent="0.3">
      <c r="A798" s="63">
        <v>45369</v>
      </c>
      <c r="B798" s="64">
        <v>19843.099609379999</v>
      </c>
      <c r="C798" s="47">
        <f t="shared" si="60"/>
        <v>9.0291100898842735E-4</v>
      </c>
      <c r="D798" s="65">
        <v>660.71845002999999</v>
      </c>
      <c r="E798" s="47">
        <f t="shared" si="61"/>
        <v>1.5324534715556837E-2</v>
      </c>
      <c r="H798" s="65">
        <v>1007.71452857</v>
      </c>
      <c r="I798" s="47">
        <f t="shared" si="62"/>
        <v>2.4261244982137775E-4</v>
      </c>
      <c r="L798" s="65">
        <v>249.15174034</v>
      </c>
      <c r="M798" s="47">
        <f t="shared" si="63"/>
        <v>-2.3884065176071334E-2</v>
      </c>
      <c r="P798" s="65">
        <v>936.51354959000003</v>
      </c>
      <c r="Q798" s="47">
        <f t="shared" si="64"/>
        <v>2.4207864604347318E-2</v>
      </c>
    </row>
    <row r="799" spans="1:17" ht="14.4" x14ac:dyDescent="0.3">
      <c r="A799" s="63">
        <v>45370</v>
      </c>
      <c r="B799" s="64">
        <v>19610.55078125</v>
      </c>
      <c r="C799" s="47">
        <f t="shared" si="60"/>
        <v>-1.1719380172847127E-2</v>
      </c>
      <c r="D799" s="65">
        <v>647.32417730999998</v>
      </c>
      <c r="E799" s="47">
        <f t="shared" si="61"/>
        <v>-2.0272284994299561E-2</v>
      </c>
      <c r="H799" s="65">
        <v>984.39640350000002</v>
      </c>
      <c r="I799" s="47">
        <f t="shared" si="62"/>
        <v>-2.3139613857795172E-2</v>
      </c>
      <c r="L799" s="65">
        <v>239.50746924000001</v>
      </c>
      <c r="M799" s="47">
        <f t="shared" si="63"/>
        <v>-3.8708423576889861E-2</v>
      </c>
      <c r="P799" s="65">
        <v>945.85950118999995</v>
      </c>
      <c r="Q799" s="47">
        <f t="shared" si="64"/>
        <v>9.9795156237638682E-3</v>
      </c>
    </row>
    <row r="800" spans="1:17" ht="14.4" x14ac:dyDescent="0.3">
      <c r="A800" s="63">
        <v>45371</v>
      </c>
      <c r="B800" s="64">
        <v>19632.05078125</v>
      </c>
      <c r="C800" s="47">
        <f t="shared" si="60"/>
        <v>1.0963486053923166E-3</v>
      </c>
      <c r="D800" s="65">
        <v>639.79605403000005</v>
      </c>
      <c r="E800" s="47">
        <f t="shared" si="61"/>
        <v>-1.1629603132210509E-2</v>
      </c>
      <c r="H800" s="65">
        <v>1057.6260709000001</v>
      </c>
      <c r="I800" s="47">
        <f t="shared" si="62"/>
        <v>7.439042558428044E-2</v>
      </c>
      <c r="L800" s="65">
        <v>239.80730081999999</v>
      </c>
      <c r="M800" s="47">
        <f t="shared" si="63"/>
        <v>1.2518673465651275E-3</v>
      </c>
      <c r="P800" s="65">
        <v>934.15244740000003</v>
      </c>
      <c r="Q800" s="47">
        <f t="shared" si="64"/>
        <v>-1.2377159372265245E-2</v>
      </c>
    </row>
    <row r="801" spans="1:17" ht="14.4" x14ac:dyDescent="0.3">
      <c r="A801" s="63">
        <v>45372</v>
      </c>
      <c r="B801" s="64">
        <v>19897.400390629999</v>
      </c>
      <c r="C801" s="47">
        <f t="shared" si="60"/>
        <v>1.3516143185276608E-2</v>
      </c>
      <c r="D801" s="65">
        <v>648.44853279999995</v>
      </c>
      <c r="E801" s="47">
        <f t="shared" si="61"/>
        <v>1.3523807650108077E-2</v>
      </c>
      <c r="H801" s="65">
        <v>1060.11920377</v>
      </c>
      <c r="I801" s="47">
        <f t="shared" si="62"/>
        <v>2.3572914270904022E-3</v>
      </c>
      <c r="L801" s="65">
        <v>258.44621959</v>
      </c>
      <c r="M801" s="47">
        <f t="shared" si="63"/>
        <v>7.7724567626864749E-2</v>
      </c>
      <c r="P801" s="65">
        <v>924.01947814000005</v>
      </c>
      <c r="Q801" s="47">
        <f t="shared" si="64"/>
        <v>-1.084723300592183E-2</v>
      </c>
    </row>
    <row r="802" spans="1:17" ht="14.4" x14ac:dyDescent="0.3">
      <c r="A802" s="63">
        <v>45373</v>
      </c>
      <c r="B802" s="64">
        <v>19994.599609379999</v>
      </c>
      <c r="C802" s="47">
        <f t="shared" si="60"/>
        <v>4.8850209998172467E-3</v>
      </c>
      <c r="D802" s="65">
        <v>657.24768365</v>
      </c>
      <c r="E802" s="47">
        <f t="shared" si="61"/>
        <v>1.3569543926648109E-2</v>
      </c>
      <c r="H802" s="65">
        <v>1041.1518399900001</v>
      </c>
      <c r="I802" s="47">
        <f t="shared" si="62"/>
        <v>-1.7891727376080024E-2</v>
      </c>
      <c r="L802" s="65">
        <v>295.12437397000002</v>
      </c>
      <c r="M802" s="47">
        <f t="shared" si="63"/>
        <v>0.14191793727215818</v>
      </c>
      <c r="P802" s="65">
        <v>912.41083230000004</v>
      </c>
      <c r="Q802" s="47">
        <f t="shared" si="64"/>
        <v>-1.2563204688463503E-2</v>
      </c>
    </row>
    <row r="803" spans="1:17" ht="14.4" x14ac:dyDescent="0.3">
      <c r="A803" s="63">
        <v>45377</v>
      </c>
      <c r="B803" s="64">
        <v>20005.25</v>
      </c>
      <c r="C803" s="47">
        <f t="shared" si="60"/>
        <v>5.3266336051094321E-4</v>
      </c>
      <c r="D803" s="65">
        <v>658.27424146999999</v>
      </c>
      <c r="E803" s="47">
        <f t="shared" si="61"/>
        <v>1.5619040516035021E-3</v>
      </c>
      <c r="H803" s="65">
        <v>1039.6364062800001</v>
      </c>
      <c r="I803" s="47">
        <f t="shared" si="62"/>
        <v>-1.4555357362808774E-3</v>
      </c>
      <c r="L803" s="65">
        <v>316.36173652000002</v>
      </c>
      <c r="M803" s="47">
        <f t="shared" si="63"/>
        <v>7.1960720371265552E-2</v>
      </c>
      <c r="P803" s="65">
        <v>904.54055727000002</v>
      </c>
      <c r="Q803" s="47">
        <f t="shared" si="64"/>
        <v>-8.6258018333261743E-3</v>
      </c>
    </row>
    <row r="804" spans="1:17" ht="14.4" x14ac:dyDescent="0.3">
      <c r="A804" s="63">
        <v>45378</v>
      </c>
      <c r="B804" s="64">
        <v>20087.80078125</v>
      </c>
      <c r="C804" s="47">
        <f t="shared" si="60"/>
        <v>4.1264558678346663E-3</v>
      </c>
      <c r="D804" s="65">
        <v>664.43363727999997</v>
      </c>
      <c r="E804" s="47">
        <f t="shared" si="61"/>
        <v>9.3568841403324221E-3</v>
      </c>
      <c r="H804" s="65">
        <v>1041.98288428</v>
      </c>
      <c r="I804" s="47">
        <f t="shared" si="62"/>
        <v>2.2570179207133112E-3</v>
      </c>
      <c r="L804" s="65">
        <v>309.56579049999999</v>
      </c>
      <c r="M804" s="47">
        <f t="shared" si="63"/>
        <v>-2.1481567571211002E-2</v>
      </c>
      <c r="P804" s="65">
        <v>887.91458158</v>
      </c>
      <c r="Q804" s="47">
        <f t="shared" si="64"/>
        <v>-1.8380575150968359E-2</v>
      </c>
    </row>
    <row r="805" spans="1:17" ht="14.4" x14ac:dyDescent="0.3">
      <c r="A805" s="63">
        <v>45379</v>
      </c>
      <c r="B805" s="64">
        <v>20255.150390629999</v>
      </c>
      <c r="C805" s="47">
        <f t="shared" si="60"/>
        <v>8.330907459825232E-3</v>
      </c>
      <c r="D805" s="65">
        <v>678.75671903</v>
      </c>
      <c r="E805" s="47">
        <f t="shared" si="61"/>
        <v>2.1556828171184428E-2</v>
      </c>
      <c r="H805" s="65">
        <v>1045.9914508500001</v>
      </c>
      <c r="I805" s="47">
        <f t="shared" si="62"/>
        <v>3.8470560605896598E-3</v>
      </c>
      <c r="L805" s="65">
        <v>323.20766279999998</v>
      </c>
      <c r="M805" s="47">
        <f t="shared" si="63"/>
        <v>4.4067764328759029E-2</v>
      </c>
      <c r="P805" s="65">
        <v>892.93191143000001</v>
      </c>
      <c r="Q805" s="47">
        <f t="shared" si="64"/>
        <v>5.6506897781449794E-3</v>
      </c>
    </row>
    <row r="806" spans="1:17" ht="14.4" x14ac:dyDescent="0.3">
      <c r="A806" s="63">
        <v>45383</v>
      </c>
      <c r="B806" s="64">
        <v>20492.55078125</v>
      </c>
      <c r="C806" s="47">
        <f t="shared" si="60"/>
        <v>1.1720495086021243E-2</v>
      </c>
      <c r="D806" s="65">
        <v>703.34547677</v>
      </c>
      <c r="E806" s="47">
        <f t="shared" si="61"/>
        <v>3.6226172132983736E-2</v>
      </c>
      <c r="H806" s="65">
        <v>1092.52993107</v>
      </c>
      <c r="I806" s="47">
        <f t="shared" si="62"/>
        <v>4.4492218537906192E-2</v>
      </c>
      <c r="L806" s="65">
        <v>318.16068603999997</v>
      </c>
      <c r="M806" s="47">
        <f t="shared" si="63"/>
        <v>-1.5615275690796571E-2</v>
      </c>
      <c r="P806" s="65">
        <v>912.80431653999995</v>
      </c>
      <c r="Q806" s="47">
        <f t="shared" si="64"/>
        <v>2.2255230052395492E-2</v>
      </c>
    </row>
    <row r="807" spans="1:17" ht="14.4" x14ac:dyDescent="0.3">
      <c r="A807" s="63">
        <v>45384</v>
      </c>
      <c r="B807" s="64">
        <v>20569.75</v>
      </c>
      <c r="C807" s="47">
        <f t="shared" si="60"/>
        <v>3.7671844551745437E-3</v>
      </c>
      <c r="D807" s="65">
        <v>718.59731867999994</v>
      </c>
      <c r="E807" s="47">
        <f t="shared" si="61"/>
        <v>2.1684708885939763E-2</v>
      </c>
      <c r="H807" s="65">
        <v>1080.7486561400001</v>
      </c>
      <c r="I807" s="47">
        <f t="shared" si="62"/>
        <v>-1.0783480246130739E-2</v>
      </c>
      <c r="L807" s="65">
        <v>322.40815855</v>
      </c>
      <c r="M807" s="47">
        <f t="shared" si="63"/>
        <v>1.3350085967145597E-2</v>
      </c>
      <c r="P807" s="65">
        <v>935.43135726000003</v>
      </c>
      <c r="Q807" s="47">
        <f t="shared" si="64"/>
        <v>2.47884900520281E-2</v>
      </c>
    </row>
    <row r="808" spans="1:17" ht="14.4" x14ac:dyDescent="0.3">
      <c r="A808" s="63">
        <v>45385</v>
      </c>
      <c r="B808" s="64">
        <v>20605.69921875</v>
      </c>
      <c r="C808" s="47">
        <f t="shared" si="60"/>
        <v>1.7476740723636475E-3</v>
      </c>
      <c r="D808" s="65">
        <v>712.43792285999996</v>
      </c>
      <c r="E808" s="47">
        <f t="shared" si="61"/>
        <v>-8.5714149773259418E-3</v>
      </c>
      <c r="H808" s="65">
        <v>1086.9081608700001</v>
      </c>
      <c r="I808" s="47">
        <f t="shared" si="62"/>
        <v>5.6992943687750319E-3</v>
      </c>
      <c r="L808" s="65">
        <v>319.11010107999999</v>
      </c>
      <c r="M808" s="47">
        <f t="shared" si="63"/>
        <v>-1.0229447929707147E-2</v>
      </c>
      <c r="P808" s="65">
        <v>949.54869260999999</v>
      </c>
      <c r="Q808" s="47">
        <f t="shared" si="64"/>
        <v>1.5091791867392068E-2</v>
      </c>
    </row>
    <row r="809" spans="1:17" ht="14.4" x14ac:dyDescent="0.3">
      <c r="A809" s="63">
        <v>45386</v>
      </c>
      <c r="B809" s="64">
        <v>20664.650390629999</v>
      </c>
      <c r="C809" s="47">
        <f t="shared" si="60"/>
        <v>2.860915868671654E-3</v>
      </c>
      <c r="D809" s="65">
        <v>752.57181776000004</v>
      </c>
      <c r="E809" s="47">
        <f t="shared" si="61"/>
        <v>5.6333181617967742E-2</v>
      </c>
      <c r="H809" s="65">
        <v>1100.4981792599999</v>
      </c>
      <c r="I809" s="47">
        <f t="shared" si="62"/>
        <v>1.2503373218876179E-2</v>
      </c>
      <c r="L809" s="65">
        <v>323.00780172999998</v>
      </c>
      <c r="M809" s="47">
        <f t="shared" si="63"/>
        <v>1.2214281643885716E-2</v>
      </c>
      <c r="P809" s="65">
        <v>962.63301502000002</v>
      </c>
      <c r="Q809" s="47">
        <f t="shared" si="64"/>
        <v>1.3779517060926505E-2</v>
      </c>
    </row>
    <row r="810" spans="1:17" ht="14.4" x14ac:dyDescent="0.3">
      <c r="A810" s="63">
        <v>45387</v>
      </c>
      <c r="B810" s="64">
        <v>20715.099609379999</v>
      </c>
      <c r="C810" s="47">
        <f t="shared" si="60"/>
        <v>2.4413294101930383E-3</v>
      </c>
      <c r="D810" s="65">
        <v>742.94165555999996</v>
      </c>
      <c r="E810" s="47">
        <f t="shared" si="61"/>
        <v>-1.2796336472795211E-2</v>
      </c>
      <c r="H810" s="65">
        <v>1131.4423578000001</v>
      </c>
      <c r="I810" s="47">
        <f t="shared" si="62"/>
        <v>2.8118336879764616E-2</v>
      </c>
      <c r="L810" s="65">
        <v>322.30820802</v>
      </c>
      <c r="M810" s="47">
        <f t="shared" si="63"/>
        <v>-2.1658724843580668E-3</v>
      </c>
      <c r="P810" s="65">
        <v>979.45570823000003</v>
      </c>
      <c r="Q810" s="47">
        <f t="shared" si="64"/>
        <v>1.7475707717806044E-2</v>
      </c>
    </row>
    <row r="811" spans="1:17" ht="14.4" x14ac:dyDescent="0.3">
      <c r="A811" s="63">
        <v>45390</v>
      </c>
      <c r="B811" s="64">
        <v>20819.099609379999</v>
      </c>
      <c r="C811" s="47">
        <f t="shared" si="60"/>
        <v>5.0204923925591949E-3</v>
      </c>
      <c r="D811" s="65">
        <v>737.12442939000005</v>
      </c>
      <c r="E811" s="47">
        <f t="shared" si="61"/>
        <v>-7.8299905873699949E-3</v>
      </c>
      <c r="H811" s="65">
        <v>1135.64646421</v>
      </c>
      <c r="I811" s="47">
        <f t="shared" si="62"/>
        <v>3.7157053393108708E-3</v>
      </c>
      <c r="L811" s="65">
        <v>328.45454059999997</v>
      </c>
      <c r="M811" s="47">
        <f t="shared" si="63"/>
        <v>1.9069736441892138E-2</v>
      </c>
      <c r="P811" s="65">
        <v>967.40434958000003</v>
      </c>
      <c r="Q811" s="47">
        <f t="shared" si="64"/>
        <v>-1.230413846051126E-2</v>
      </c>
    </row>
    <row r="812" spans="1:17" ht="14.4" x14ac:dyDescent="0.3">
      <c r="A812" s="63">
        <v>45391</v>
      </c>
      <c r="B812" s="64">
        <v>20790.69921875</v>
      </c>
      <c r="C812" s="47">
        <f t="shared" si="60"/>
        <v>-1.3641507636191763E-3</v>
      </c>
      <c r="D812" s="65">
        <v>740.44852371000002</v>
      </c>
      <c r="E812" s="47">
        <f t="shared" si="61"/>
        <v>4.5095430126373959E-3</v>
      </c>
      <c r="H812" s="65">
        <v>1123.6207644900001</v>
      </c>
      <c r="I812" s="47">
        <f t="shared" si="62"/>
        <v>-1.0589298781787271E-2</v>
      </c>
      <c r="L812" s="65">
        <v>321.15890193000001</v>
      </c>
      <c r="M812" s="47">
        <f t="shared" si="63"/>
        <v>-2.2212019528403348E-2</v>
      </c>
      <c r="P812" s="65">
        <v>977.68490617999998</v>
      </c>
      <c r="Q812" s="47">
        <f t="shared" si="64"/>
        <v>1.0626948911758749E-2</v>
      </c>
    </row>
    <row r="813" spans="1:17" ht="14.4" x14ac:dyDescent="0.3">
      <c r="A813" s="63">
        <v>45392</v>
      </c>
      <c r="B813" s="64">
        <v>20915.19921875</v>
      </c>
      <c r="C813" s="47">
        <f t="shared" si="60"/>
        <v>5.9882545887499639E-3</v>
      </c>
      <c r="D813" s="65">
        <v>747.34123097999998</v>
      </c>
      <c r="E813" s="47">
        <f t="shared" si="61"/>
        <v>9.308827081542681E-3</v>
      </c>
      <c r="H813" s="65">
        <v>1170.4525544600001</v>
      </c>
      <c r="I813" s="47">
        <f t="shared" si="62"/>
        <v>4.1679356104865617E-2</v>
      </c>
      <c r="L813" s="65">
        <v>319.50988318999998</v>
      </c>
      <c r="M813" s="47">
        <f t="shared" si="63"/>
        <v>-5.1345882990951885E-3</v>
      </c>
      <c r="P813" s="65">
        <v>981.57086432000006</v>
      </c>
      <c r="Q813" s="47">
        <f t="shared" si="64"/>
        <v>3.9746528921913438E-3</v>
      </c>
    </row>
    <row r="814" spans="1:17" ht="14.4" x14ac:dyDescent="0.3">
      <c r="A814" s="63">
        <v>45394</v>
      </c>
      <c r="B814" s="64">
        <v>20745.5</v>
      </c>
      <c r="C814" s="47">
        <f t="shared" si="60"/>
        <v>-8.1136792901245203E-3</v>
      </c>
      <c r="D814" s="65">
        <v>730.03622455000004</v>
      </c>
      <c r="E814" s="47">
        <f t="shared" si="61"/>
        <v>-2.3155428487877772E-2</v>
      </c>
      <c r="H814" s="65">
        <v>1143.1258628200001</v>
      </c>
      <c r="I814" s="47">
        <f t="shared" si="62"/>
        <v>-2.334711606709039E-2</v>
      </c>
      <c r="L814" s="65">
        <v>315.91202412000001</v>
      </c>
      <c r="M814" s="47">
        <f t="shared" si="63"/>
        <v>-1.1260556431240243E-2</v>
      </c>
      <c r="P814" s="65">
        <v>947.82706995000001</v>
      </c>
      <c r="Q814" s="47">
        <f t="shared" si="64"/>
        <v>-3.4377339015025266E-2</v>
      </c>
    </row>
    <row r="815" spans="1:17" ht="14.4" x14ac:dyDescent="0.3">
      <c r="A815" s="63">
        <v>45397</v>
      </c>
      <c r="B815" s="64">
        <v>20478.75</v>
      </c>
      <c r="C815" s="47">
        <f t="shared" si="60"/>
        <v>-1.2858210214263366E-2</v>
      </c>
      <c r="D815" s="65">
        <v>688.38688122999997</v>
      </c>
      <c r="E815" s="47">
        <f t="shared" si="61"/>
        <v>-5.7051063932715196E-2</v>
      </c>
      <c r="H815" s="65">
        <v>1131.58901268</v>
      </c>
      <c r="I815" s="47">
        <f t="shared" si="62"/>
        <v>-1.0092370853669208E-2</v>
      </c>
      <c r="L815" s="65">
        <v>320.00958584</v>
      </c>
      <c r="M815" s="47">
        <f t="shared" si="63"/>
        <v>1.2970578538167743E-2</v>
      </c>
      <c r="P815" s="65">
        <v>927.85625689000005</v>
      </c>
      <c r="Q815" s="47">
        <f t="shared" si="64"/>
        <v>-2.1070102018771686E-2</v>
      </c>
    </row>
    <row r="816" spans="1:17" ht="14.4" x14ac:dyDescent="0.3">
      <c r="A816" s="63">
        <v>45398</v>
      </c>
      <c r="B816" s="64">
        <v>20423</v>
      </c>
      <c r="C816" s="47">
        <f t="shared" si="60"/>
        <v>-2.7223341268387546E-3</v>
      </c>
      <c r="D816" s="65">
        <v>685.64937741999995</v>
      </c>
      <c r="E816" s="47">
        <f t="shared" si="61"/>
        <v>-3.9766937526594104E-3</v>
      </c>
      <c r="H816" s="65">
        <v>1134.0332605900001</v>
      </c>
      <c r="I816" s="47">
        <f t="shared" si="62"/>
        <v>2.1600138235799982E-3</v>
      </c>
      <c r="L816" s="65">
        <v>315.61218255</v>
      </c>
      <c r="M816" s="47">
        <f t="shared" si="63"/>
        <v>-1.374147364510081E-2</v>
      </c>
      <c r="P816" s="65">
        <v>938.62865649000003</v>
      </c>
      <c r="Q816" s="47">
        <f t="shared" si="64"/>
        <v>1.1609987560041946E-2</v>
      </c>
    </row>
    <row r="817" spans="1:17" ht="14.4" x14ac:dyDescent="0.3">
      <c r="A817" s="63">
        <v>45400</v>
      </c>
      <c r="B817" s="64">
        <v>20324.69921875</v>
      </c>
      <c r="C817" s="47">
        <f t="shared" si="60"/>
        <v>-4.8132390564559202E-3</v>
      </c>
      <c r="D817" s="65">
        <v>685.64937741999995</v>
      </c>
      <c r="E817" s="47">
        <f t="shared" si="61"/>
        <v>0</v>
      </c>
      <c r="H817" s="65">
        <v>1151.53407563</v>
      </c>
      <c r="I817" s="47">
        <f t="shared" si="62"/>
        <v>1.5432364859294223E-2</v>
      </c>
      <c r="L817" s="65">
        <v>316.56162756999998</v>
      </c>
      <c r="M817" s="47">
        <f t="shared" si="63"/>
        <v>3.0082648024829517E-3</v>
      </c>
      <c r="P817" s="65">
        <v>925.10162128000002</v>
      </c>
      <c r="Q817" s="47">
        <f t="shared" si="64"/>
        <v>-1.4411487563765979E-2</v>
      </c>
    </row>
    <row r="818" spans="1:17" ht="14.4" x14ac:dyDescent="0.3">
      <c r="A818" s="63">
        <v>45401</v>
      </c>
      <c r="B818" s="64">
        <v>20385.19921875</v>
      </c>
      <c r="C818" s="47">
        <f t="shared" si="60"/>
        <v>2.9766738168595097E-3</v>
      </c>
      <c r="D818" s="65">
        <v>681.29867638999997</v>
      </c>
      <c r="E818" s="47">
        <f t="shared" si="61"/>
        <v>-6.3453729752822596E-3</v>
      </c>
      <c r="H818" s="65">
        <v>1179.49627173</v>
      </c>
      <c r="I818" s="47">
        <f t="shared" si="62"/>
        <v>2.4282560709028012E-2</v>
      </c>
      <c r="L818" s="65">
        <v>314.16306485000001</v>
      </c>
      <c r="M818" s="47">
        <f t="shared" si="63"/>
        <v>-7.5769218727231857E-3</v>
      </c>
      <c r="P818" s="65">
        <v>931.69298646000004</v>
      </c>
      <c r="Q818" s="47">
        <f t="shared" si="64"/>
        <v>7.1250174341712658E-3</v>
      </c>
    </row>
    <row r="819" spans="1:17" ht="14.4" x14ac:dyDescent="0.3">
      <c r="A819" s="63">
        <v>45404</v>
      </c>
      <c r="B819" s="64">
        <v>20574.849609379999</v>
      </c>
      <c r="C819" s="47">
        <f t="shared" si="60"/>
        <v>9.3033376124949108E-3</v>
      </c>
      <c r="D819" s="65">
        <v>720.60155992</v>
      </c>
      <c r="E819" s="47">
        <f t="shared" si="61"/>
        <v>5.7688184187079772E-2</v>
      </c>
      <c r="H819" s="65">
        <v>1173.8745015300001</v>
      </c>
      <c r="I819" s="47">
        <f t="shared" si="62"/>
        <v>-4.7662466891517097E-3</v>
      </c>
      <c r="L819" s="65">
        <v>351.09107055999999</v>
      </c>
      <c r="M819" s="47">
        <f t="shared" si="63"/>
        <v>0.11754407134916245</v>
      </c>
      <c r="P819" s="65">
        <v>935.67730334999999</v>
      </c>
      <c r="Q819" s="47">
        <f t="shared" si="64"/>
        <v>4.2764268357740054E-3</v>
      </c>
    </row>
    <row r="820" spans="1:17" ht="14.4" x14ac:dyDescent="0.3">
      <c r="A820" s="63">
        <v>45405</v>
      </c>
      <c r="B820" s="64">
        <v>20652.650390629999</v>
      </c>
      <c r="C820" s="47">
        <f t="shared" si="60"/>
        <v>3.7813535810502508E-3</v>
      </c>
      <c r="D820" s="65">
        <v>717.37521439</v>
      </c>
      <c r="E820" s="47">
        <f t="shared" si="61"/>
        <v>-4.4772946791263868E-3</v>
      </c>
      <c r="H820" s="65">
        <v>1153.2939341199999</v>
      </c>
      <c r="I820" s="47">
        <f t="shared" si="62"/>
        <v>-1.7532170077104503E-2</v>
      </c>
      <c r="L820" s="65">
        <v>341.64671049999998</v>
      </c>
      <c r="M820" s="47">
        <f t="shared" si="63"/>
        <v>-2.6900029228701272E-2</v>
      </c>
      <c r="P820" s="65">
        <v>929.38111284000001</v>
      </c>
      <c r="Q820" s="47">
        <f t="shared" si="64"/>
        <v>-6.7290191687430223E-3</v>
      </c>
    </row>
    <row r="821" spans="1:17" ht="14.4" x14ac:dyDescent="0.3">
      <c r="A821" s="63">
        <v>45406</v>
      </c>
      <c r="B821" s="64">
        <v>20730.650390629999</v>
      </c>
      <c r="C821" s="47">
        <f t="shared" si="60"/>
        <v>3.7767549696861025E-3</v>
      </c>
      <c r="D821" s="65">
        <v>722.11695945999998</v>
      </c>
      <c r="E821" s="47">
        <f t="shared" si="61"/>
        <v>6.609853497701268E-3</v>
      </c>
      <c r="H821" s="65">
        <v>1148.7476330100001</v>
      </c>
      <c r="I821" s="47">
        <f t="shared" si="62"/>
        <v>-3.9420142389535728E-3</v>
      </c>
      <c r="L821" s="65">
        <v>336.05003084999998</v>
      </c>
      <c r="M821" s="47">
        <f t="shared" si="63"/>
        <v>-1.6381482619309495E-2</v>
      </c>
      <c r="P821" s="65">
        <v>924.41301155999997</v>
      </c>
      <c r="Q821" s="47">
        <f t="shared" si="64"/>
        <v>-5.3456017250216314E-3</v>
      </c>
    </row>
    <row r="822" spans="1:17" ht="14.4" x14ac:dyDescent="0.3">
      <c r="A822" s="63">
        <v>45407</v>
      </c>
      <c r="B822" s="64">
        <v>20867.900390629999</v>
      </c>
      <c r="C822" s="47">
        <f t="shared" si="60"/>
        <v>6.6206316451140612E-3</v>
      </c>
      <c r="D822" s="65">
        <v>717.42408879000004</v>
      </c>
      <c r="E822" s="47">
        <f t="shared" si="61"/>
        <v>-6.4987681130066477E-3</v>
      </c>
      <c r="H822" s="65">
        <v>1157.10696087</v>
      </c>
      <c r="I822" s="47">
        <f t="shared" si="62"/>
        <v>7.2769054053207771E-3</v>
      </c>
      <c r="L822" s="65">
        <v>339.04824674000002</v>
      </c>
      <c r="M822" s="47">
        <f t="shared" si="63"/>
        <v>8.9219330895951021E-3</v>
      </c>
      <c r="P822" s="65">
        <v>921.11730437999995</v>
      </c>
      <c r="Q822" s="47">
        <f t="shared" si="64"/>
        <v>-3.565189086248699E-3</v>
      </c>
    </row>
    <row r="823" spans="1:17" ht="14.4" x14ac:dyDescent="0.3">
      <c r="A823" s="63">
        <v>45408</v>
      </c>
      <c r="B823" s="64">
        <v>20839.349609379999</v>
      </c>
      <c r="C823" s="47">
        <f t="shared" si="60"/>
        <v>-1.3681674109782271E-3</v>
      </c>
      <c r="D823" s="65">
        <v>709.94483990000003</v>
      </c>
      <c r="E823" s="47">
        <f t="shared" si="61"/>
        <v>-1.0425143240749613E-2</v>
      </c>
      <c r="H823" s="65">
        <v>1160.4800229800001</v>
      </c>
      <c r="I823" s="47">
        <f t="shared" si="62"/>
        <v>2.9150823770551781E-3</v>
      </c>
      <c r="L823" s="65">
        <v>348.19279519999998</v>
      </c>
      <c r="M823" s="47">
        <f t="shared" si="63"/>
        <v>2.6971230637309551E-2</v>
      </c>
      <c r="P823" s="65">
        <v>923.08487314000001</v>
      </c>
      <c r="Q823" s="47">
        <f t="shared" si="64"/>
        <v>2.1360675243469185E-3</v>
      </c>
    </row>
    <row r="824" spans="1:17" ht="14.4" x14ac:dyDescent="0.3">
      <c r="A824" s="63">
        <v>45411</v>
      </c>
      <c r="B824" s="64">
        <v>20992.19921875</v>
      </c>
      <c r="C824" s="47">
        <f t="shared" si="60"/>
        <v>7.334663136569386E-3</v>
      </c>
      <c r="D824" s="65">
        <v>715.17542667999999</v>
      </c>
      <c r="E824" s="47">
        <f t="shared" si="61"/>
        <v>7.367596024413281E-3</v>
      </c>
      <c r="H824" s="65">
        <v>1144.34798677</v>
      </c>
      <c r="I824" s="47">
        <f t="shared" si="62"/>
        <v>-1.3901175281393008E-2</v>
      </c>
      <c r="L824" s="65">
        <v>339.29809805999997</v>
      </c>
      <c r="M824" s="47">
        <f t="shared" si="63"/>
        <v>-2.5545322196833364E-2</v>
      </c>
      <c r="P824" s="65">
        <v>922.19949670999995</v>
      </c>
      <c r="Q824" s="47">
        <f t="shared" si="64"/>
        <v>-9.5914953842579642E-4</v>
      </c>
    </row>
    <row r="825" spans="1:17" ht="14.4" x14ac:dyDescent="0.3">
      <c r="A825" s="63">
        <v>45412</v>
      </c>
      <c r="B825" s="64">
        <v>20997.19921875</v>
      </c>
      <c r="C825" s="47">
        <f t="shared" si="60"/>
        <v>2.3818371519324089E-4</v>
      </c>
      <c r="D825" s="65">
        <v>732.08934019000003</v>
      </c>
      <c r="E825" s="47">
        <f t="shared" si="61"/>
        <v>2.3650020511076786E-2</v>
      </c>
      <c r="H825" s="65">
        <v>1198.3169806400001</v>
      </c>
      <c r="I825" s="47">
        <f t="shared" si="62"/>
        <v>4.7161348203470288E-2</v>
      </c>
      <c r="L825" s="65">
        <v>357.48728444</v>
      </c>
      <c r="M825" s="47">
        <f t="shared" si="63"/>
        <v>5.3608276863324811E-2</v>
      </c>
      <c r="P825" s="65">
        <v>931.88975316999995</v>
      </c>
      <c r="Q825" s="47">
        <f t="shared" si="64"/>
        <v>1.0507765938466251E-2</v>
      </c>
    </row>
    <row r="826" spans="1:17" ht="14.4" x14ac:dyDescent="0.3">
      <c r="A826" s="63">
        <v>45414</v>
      </c>
      <c r="B826" s="64">
        <v>21083.599609379999</v>
      </c>
      <c r="C826" s="47">
        <f t="shared" si="60"/>
        <v>4.1148531158785584E-3</v>
      </c>
      <c r="D826" s="65">
        <v>728.96074345</v>
      </c>
      <c r="E826" s="47">
        <f t="shared" si="61"/>
        <v>-4.2735176818556875E-3</v>
      </c>
      <c r="H826" s="65">
        <v>1192.35301574</v>
      </c>
      <c r="I826" s="47">
        <f t="shared" si="62"/>
        <v>-4.976951004078134E-3</v>
      </c>
      <c r="L826" s="65">
        <v>351.84062453000001</v>
      </c>
      <c r="M826" s="47">
        <f t="shared" si="63"/>
        <v>-1.5795414706415101E-2</v>
      </c>
      <c r="P826" s="65">
        <v>929.33193345999996</v>
      </c>
      <c r="Q826" s="47">
        <f t="shared" si="64"/>
        <v>-2.7447664289677043E-3</v>
      </c>
    </row>
    <row r="827" spans="1:17" ht="14.4" x14ac:dyDescent="0.3">
      <c r="A827" s="63">
        <v>45415</v>
      </c>
      <c r="B827" s="64">
        <v>20959.55078125</v>
      </c>
      <c r="C827" s="47">
        <f t="shared" si="60"/>
        <v>-5.8836645747536442E-3</v>
      </c>
      <c r="D827" s="65">
        <v>735.12018813999998</v>
      </c>
      <c r="E827" s="47">
        <f t="shared" si="61"/>
        <v>8.4496246819119047E-3</v>
      </c>
      <c r="H827" s="65">
        <v>1213.9601672599999</v>
      </c>
      <c r="I827" s="47">
        <f t="shared" si="62"/>
        <v>1.8121438227411302E-2</v>
      </c>
      <c r="L827" s="65">
        <v>338.29869275999999</v>
      </c>
      <c r="M827" s="47">
        <f t="shared" si="63"/>
        <v>-3.848882370559048E-2</v>
      </c>
      <c r="P827" s="65">
        <v>935.13623178</v>
      </c>
      <c r="Q827" s="47">
        <f t="shared" si="64"/>
        <v>6.2456675715316656E-3</v>
      </c>
    </row>
    <row r="828" spans="1:17" ht="14.4" x14ac:dyDescent="0.3">
      <c r="A828" s="63">
        <v>45418</v>
      </c>
      <c r="B828" s="64">
        <v>20864.94921875</v>
      </c>
      <c r="C828" s="47">
        <f t="shared" si="60"/>
        <v>-4.5135300602257011E-3</v>
      </c>
      <c r="D828" s="65">
        <v>735.21793692999995</v>
      </c>
      <c r="E828" s="47">
        <f t="shared" si="61"/>
        <v>1.3296980762733668E-4</v>
      </c>
      <c r="H828" s="65">
        <v>1221.83064554</v>
      </c>
      <c r="I828" s="47">
        <f t="shared" si="62"/>
        <v>6.4833085073658925E-3</v>
      </c>
      <c r="L828" s="65">
        <v>323.90726648999998</v>
      </c>
      <c r="M828" s="47">
        <f t="shared" si="63"/>
        <v>-4.2540590838788028E-2</v>
      </c>
      <c r="P828" s="65">
        <v>936.71031630000004</v>
      </c>
      <c r="Q828" s="47">
        <f t="shared" si="64"/>
        <v>1.6832675994211677E-3</v>
      </c>
    </row>
    <row r="829" spans="1:17" ht="14.4" x14ac:dyDescent="0.3">
      <c r="A829" s="63">
        <v>45419</v>
      </c>
      <c r="B829" s="64">
        <v>20636.05078125</v>
      </c>
      <c r="C829" s="47">
        <f t="shared" si="60"/>
        <v>-1.0970476616080305E-2</v>
      </c>
      <c r="D829" s="65">
        <v>723.82790545</v>
      </c>
      <c r="E829" s="47">
        <f t="shared" si="61"/>
        <v>-1.5492047878429838E-2</v>
      </c>
      <c r="H829" s="65">
        <v>1180.03400627</v>
      </c>
      <c r="I829" s="47">
        <f t="shared" si="62"/>
        <v>-3.4208209969662007E-2</v>
      </c>
      <c r="L829" s="65">
        <v>313.31356036</v>
      </c>
      <c r="M829" s="47">
        <f t="shared" si="63"/>
        <v>-3.2705984786318587E-2</v>
      </c>
      <c r="P829" s="65">
        <v>950.23735151999995</v>
      </c>
      <c r="Q829" s="47">
        <f t="shared" si="64"/>
        <v>1.4441001646519291E-2</v>
      </c>
    </row>
    <row r="830" spans="1:17" ht="14.4" x14ac:dyDescent="0.3">
      <c r="A830" s="63">
        <v>45420</v>
      </c>
      <c r="B830" s="64">
        <v>20704.900390629999</v>
      </c>
      <c r="C830" s="47">
        <f t="shared" si="60"/>
        <v>3.3363752643289502E-3</v>
      </c>
      <c r="D830" s="65">
        <v>720.55268552999996</v>
      </c>
      <c r="E830" s="47">
        <f t="shared" si="61"/>
        <v>-4.5248599775438159E-3</v>
      </c>
      <c r="H830" s="65">
        <v>1215.81779568</v>
      </c>
      <c r="I830" s="47">
        <f t="shared" si="62"/>
        <v>3.032437134850885E-2</v>
      </c>
      <c r="L830" s="65">
        <v>322.35816829999999</v>
      </c>
      <c r="M830" s="47">
        <f t="shared" si="63"/>
        <v>2.8867591717408159E-2</v>
      </c>
      <c r="P830" s="65">
        <v>927.75784894000003</v>
      </c>
      <c r="Q830" s="47">
        <f t="shared" si="64"/>
        <v>-2.3656723811205427E-2</v>
      </c>
    </row>
    <row r="831" spans="1:17" ht="14.4" x14ac:dyDescent="0.3">
      <c r="A831" s="63">
        <v>45421</v>
      </c>
      <c r="B831" s="64">
        <v>20344.80078125</v>
      </c>
      <c r="C831" s="47">
        <f t="shared" si="60"/>
        <v>-1.739199912031264E-2</v>
      </c>
      <c r="D831" s="65">
        <v>719.57500210000001</v>
      </c>
      <c r="E831" s="47">
        <f t="shared" si="61"/>
        <v>-1.3568521076023909E-3</v>
      </c>
      <c r="H831" s="65">
        <v>1161.31106727</v>
      </c>
      <c r="I831" s="47">
        <f t="shared" si="62"/>
        <v>-4.4831329664421271E-2</v>
      </c>
      <c r="L831" s="65">
        <v>312.46405585999997</v>
      </c>
      <c r="M831" s="47">
        <f t="shared" si="63"/>
        <v>-3.0692916801761116E-2</v>
      </c>
      <c r="P831" s="65">
        <v>916.54273652999996</v>
      </c>
      <c r="Q831" s="47">
        <f t="shared" si="64"/>
        <v>-1.2088404773738959E-2</v>
      </c>
    </row>
    <row r="832" spans="1:17" ht="14.4" x14ac:dyDescent="0.3">
      <c r="A832" s="63">
        <v>45422</v>
      </c>
      <c r="B832" s="64">
        <v>20469.099609379999</v>
      </c>
      <c r="C832" s="47">
        <f t="shared" si="60"/>
        <v>6.1096114661665091E-3</v>
      </c>
      <c r="D832" s="65">
        <v>707.84280097999999</v>
      </c>
      <c r="E832" s="47">
        <f t="shared" si="61"/>
        <v>-1.6304347824425358E-2</v>
      </c>
      <c r="H832" s="65">
        <v>1138.38402187</v>
      </c>
      <c r="I832" s="47">
        <f t="shared" si="62"/>
        <v>-1.9742380871213716E-2</v>
      </c>
      <c r="L832" s="65">
        <v>314.56281697999998</v>
      </c>
      <c r="M832" s="47">
        <f t="shared" si="63"/>
        <v>6.7168081596571394E-3</v>
      </c>
      <c r="P832" s="65">
        <v>912.75513716</v>
      </c>
      <c r="Q832" s="47">
        <f t="shared" si="64"/>
        <v>-4.1324852830536551E-3</v>
      </c>
    </row>
    <row r="833" spans="1:17" ht="14.4" x14ac:dyDescent="0.3">
      <c r="A833" s="63">
        <v>45425</v>
      </c>
      <c r="B833" s="64">
        <v>20511</v>
      </c>
      <c r="C833" s="47">
        <f t="shared" si="60"/>
        <v>2.047007021295677E-3</v>
      </c>
      <c r="D833" s="65">
        <v>701.14568906</v>
      </c>
      <c r="E833" s="47">
        <f t="shared" si="61"/>
        <v>-9.4612983429765984E-3</v>
      </c>
      <c r="H833" s="65">
        <v>1130.2202338500001</v>
      </c>
      <c r="I833" s="47">
        <f t="shared" si="62"/>
        <v>-7.1713831740095602E-3</v>
      </c>
      <c r="L833" s="65">
        <v>314.81266829999998</v>
      </c>
      <c r="M833" s="47">
        <f t="shared" si="63"/>
        <v>7.9428116265845006E-4</v>
      </c>
      <c r="P833" s="65">
        <v>906.36053869</v>
      </c>
      <c r="Q833" s="47">
        <f t="shared" si="64"/>
        <v>-7.0058203012656195E-3</v>
      </c>
    </row>
    <row r="834" spans="1:17" ht="14.4" x14ac:dyDescent="0.3">
      <c r="A834" s="63">
        <v>45426</v>
      </c>
      <c r="B834" s="64">
        <v>20683.80078125</v>
      </c>
      <c r="C834" s="47">
        <f t="shared" si="60"/>
        <v>8.4247857856760699E-3</v>
      </c>
      <c r="D834" s="65">
        <v>703.83431847999998</v>
      </c>
      <c r="E834" s="47">
        <f t="shared" si="61"/>
        <v>3.834623049033592E-3</v>
      </c>
      <c r="H834" s="65">
        <v>1131.34458789</v>
      </c>
      <c r="I834" s="47">
        <f t="shared" si="62"/>
        <v>9.9480968958576277E-4</v>
      </c>
      <c r="L834" s="65">
        <v>323.75735570000001</v>
      </c>
      <c r="M834" s="47">
        <f t="shared" si="63"/>
        <v>2.8412730174746992E-2</v>
      </c>
      <c r="P834" s="65">
        <v>933.41460912000002</v>
      </c>
      <c r="Q834" s="47">
        <f t="shared" si="64"/>
        <v>2.9849126561823258E-2</v>
      </c>
    </row>
    <row r="835" spans="1:17" ht="14.4" x14ac:dyDescent="0.3">
      <c r="A835" s="63">
        <v>45427</v>
      </c>
      <c r="B835" s="64">
        <v>20741.849609379999</v>
      </c>
      <c r="C835" s="47">
        <f t="shared" si="60"/>
        <v>2.8064874896021053E-3</v>
      </c>
      <c r="D835" s="65">
        <v>743.77266691</v>
      </c>
      <c r="E835" s="47">
        <f t="shared" si="61"/>
        <v>5.6743962863662123E-2</v>
      </c>
      <c r="H835" s="65">
        <v>1150.8496862100001</v>
      </c>
      <c r="I835" s="47">
        <f t="shared" si="62"/>
        <v>1.7240634311406211E-2</v>
      </c>
      <c r="L835" s="65">
        <v>325.20647338999999</v>
      </c>
      <c r="M835" s="47">
        <f t="shared" si="63"/>
        <v>4.4759375022285219E-3</v>
      </c>
      <c r="P835" s="65">
        <v>920.47787404999997</v>
      </c>
      <c r="Q835" s="47">
        <f t="shared" si="64"/>
        <v>-1.385958066608417E-2</v>
      </c>
    </row>
    <row r="836" spans="1:17" ht="14.4" x14ac:dyDescent="0.3">
      <c r="A836" s="63">
        <v>45428</v>
      </c>
      <c r="B836" s="64">
        <v>20929.05078125</v>
      </c>
      <c r="C836" s="47">
        <f t="shared" ref="C836:C899" si="65">B836/B835-1</f>
        <v>9.025288264810527E-3</v>
      </c>
      <c r="D836" s="65">
        <v>762.20197996000002</v>
      </c>
      <c r="E836" s="47">
        <f t="shared" ref="E836:E899" si="66">D836/D835-1</f>
        <v>2.47781531506992E-2</v>
      </c>
      <c r="H836" s="65">
        <v>1172.5057227</v>
      </c>
      <c r="I836" s="47">
        <f t="shared" ref="I836:I899" si="67">H836/H835-1</f>
        <v>1.881743267560676E-2</v>
      </c>
      <c r="L836" s="65">
        <v>331.30285569</v>
      </c>
      <c r="M836" s="47">
        <f t="shared" ref="M836:M899" si="68">L836/L835-1</f>
        <v>1.8746189878849684E-2</v>
      </c>
      <c r="P836" s="65">
        <v>910.64003026</v>
      </c>
      <c r="Q836" s="47">
        <f t="shared" ref="Q836:Q899" si="69">P836/P835-1</f>
        <v>-1.0687756943808524E-2</v>
      </c>
    </row>
    <row r="837" spans="1:17" ht="14.4" x14ac:dyDescent="0.3">
      <c r="A837" s="63">
        <v>45429</v>
      </c>
      <c r="B837" s="64">
        <v>21064.55078125</v>
      </c>
      <c r="C837" s="47">
        <f t="shared" si="65"/>
        <v>6.4742544426044102E-3</v>
      </c>
      <c r="D837" s="65">
        <v>772.95649764999996</v>
      </c>
      <c r="E837" s="47">
        <f t="shared" si="66"/>
        <v>1.4109800253424121E-2</v>
      </c>
      <c r="H837" s="65">
        <v>1174.9988555699999</v>
      </c>
      <c r="I837" s="47">
        <f t="shared" si="67"/>
        <v>2.1263289566373356E-3</v>
      </c>
      <c r="L837" s="65">
        <v>324.50690967000003</v>
      </c>
      <c r="M837" s="47">
        <f t="shared" si="68"/>
        <v>-2.051279034660336E-2</v>
      </c>
      <c r="P837" s="65">
        <v>930.46325597999999</v>
      </c>
      <c r="Q837" s="47">
        <f t="shared" si="69"/>
        <v>2.1768454121592118E-2</v>
      </c>
    </row>
    <row r="838" spans="1:17" ht="14.4" x14ac:dyDescent="0.3">
      <c r="A838" s="63">
        <v>45430</v>
      </c>
      <c r="B838" s="64">
        <v>21144.44921875</v>
      </c>
      <c r="C838" s="47">
        <f t="shared" si="65"/>
        <v>3.7930283123397412E-3</v>
      </c>
      <c r="D838" s="65">
        <v>774.17860193000001</v>
      </c>
      <c r="E838" s="47">
        <f t="shared" si="66"/>
        <v>1.5810776980536012E-3</v>
      </c>
      <c r="H838" s="65">
        <v>1172.4568377400001</v>
      </c>
      <c r="I838" s="47">
        <f t="shared" si="67"/>
        <v>-2.1634215369228382E-3</v>
      </c>
      <c r="L838" s="65">
        <v>328.80434244999998</v>
      </c>
      <c r="M838" s="47">
        <f t="shared" si="68"/>
        <v>1.324296232819866E-2</v>
      </c>
      <c r="P838" s="65">
        <v>938.23517225000001</v>
      </c>
      <c r="Q838" s="47">
        <f t="shared" si="69"/>
        <v>8.3527385096087148E-3</v>
      </c>
    </row>
    <row r="839" spans="1:17" ht="14.4" x14ac:dyDescent="0.3">
      <c r="A839" s="63">
        <v>45433</v>
      </c>
      <c r="B839" s="64">
        <v>21187.650390629999</v>
      </c>
      <c r="C839" s="47">
        <f t="shared" si="65"/>
        <v>2.0431448193831692E-3</v>
      </c>
      <c r="D839" s="65">
        <v>778.33375650000005</v>
      </c>
      <c r="E839" s="47">
        <f t="shared" si="66"/>
        <v>5.3671782708037963E-3</v>
      </c>
      <c r="H839" s="65">
        <v>1212.44473356</v>
      </c>
      <c r="I839" s="47">
        <f t="shared" si="67"/>
        <v>3.4106070716496184E-2</v>
      </c>
      <c r="L839" s="65">
        <v>317.66098339000001</v>
      </c>
      <c r="M839" s="47">
        <f t="shared" si="68"/>
        <v>-3.3890547116768976E-2</v>
      </c>
      <c r="P839" s="65">
        <v>922.24867609</v>
      </c>
      <c r="Q839" s="47">
        <f t="shared" si="69"/>
        <v>-1.7038900941714341E-2</v>
      </c>
    </row>
    <row r="840" spans="1:17" ht="14.4" x14ac:dyDescent="0.3">
      <c r="A840" s="63">
        <v>45434</v>
      </c>
      <c r="B840" s="64">
        <v>21237.75</v>
      </c>
      <c r="C840" s="47">
        <f t="shared" si="65"/>
        <v>2.3645665492082468E-3</v>
      </c>
      <c r="D840" s="65">
        <v>781.75564849</v>
      </c>
      <c r="E840" s="47">
        <f t="shared" si="66"/>
        <v>4.3964327146588378E-3</v>
      </c>
      <c r="H840" s="65">
        <v>1198.7569452600001</v>
      </c>
      <c r="I840" s="47">
        <f t="shared" si="67"/>
        <v>-1.1289412144840361E-2</v>
      </c>
      <c r="L840" s="65">
        <v>318.91024001</v>
      </c>
      <c r="M840" s="47">
        <f t="shared" si="68"/>
        <v>3.9326725198298718E-3</v>
      </c>
      <c r="P840" s="65">
        <v>916.69027467000001</v>
      </c>
      <c r="Q840" s="47">
        <f t="shared" si="69"/>
        <v>-6.0270093783876266E-3</v>
      </c>
    </row>
    <row r="841" spans="1:17" ht="14.4" x14ac:dyDescent="0.3">
      <c r="A841" s="63">
        <v>45435</v>
      </c>
      <c r="B841" s="64">
        <v>21489.55078125</v>
      </c>
      <c r="C841" s="47">
        <f t="shared" si="65"/>
        <v>1.1856283328036232E-2</v>
      </c>
      <c r="D841" s="65">
        <v>767.53036440999995</v>
      </c>
      <c r="E841" s="47">
        <f t="shared" si="66"/>
        <v>-1.8196586244662138E-2</v>
      </c>
      <c r="H841" s="65">
        <v>1200.4190338400001</v>
      </c>
      <c r="I841" s="47">
        <f t="shared" si="67"/>
        <v>1.3865100732655122E-3</v>
      </c>
      <c r="L841" s="65">
        <v>317.86084446000001</v>
      </c>
      <c r="M841" s="47">
        <f t="shared" si="68"/>
        <v>-3.2905671199742192E-3</v>
      </c>
      <c r="P841" s="65">
        <v>940.84217134000005</v>
      </c>
      <c r="Q841" s="47">
        <f t="shared" si="69"/>
        <v>2.6346845098465188E-2</v>
      </c>
    </row>
    <row r="842" spans="1:17" ht="14.4" x14ac:dyDescent="0.3">
      <c r="A842" s="63">
        <v>45436</v>
      </c>
      <c r="B842" s="64">
        <v>21483.75</v>
      </c>
      <c r="C842" s="47">
        <f t="shared" si="65"/>
        <v>-2.6993497021177149E-4</v>
      </c>
      <c r="D842" s="65">
        <v>762.93524252999998</v>
      </c>
      <c r="E842" s="47">
        <f t="shared" si="66"/>
        <v>-5.9868926274105894E-3</v>
      </c>
      <c r="H842" s="65">
        <v>1200.22349401</v>
      </c>
      <c r="I842" s="47">
        <f t="shared" si="67"/>
        <v>-1.6289297694205285E-4</v>
      </c>
      <c r="L842" s="65">
        <v>314.66276749999997</v>
      </c>
      <c r="M842" s="47">
        <f t="shared" si="68"/>
        <v>-1.0061248548663193E-2</v>
      </c>
      <c r="P842" s="65">
        <v>927.90543627</v>
      </c>
      <c r="Q842" s="47">
        <f t="shared" si="69"/>
        <v>-1.3750164973552192E-2</v>
      </c>
    </row>
    <row r="843" spans="1:17" ht="14.4" x14ac:dyDescent="0.3">
      <c r="A843" s="63">
        <v>45439</v>
      </c>
      <c r="B843" s="64">
        <v>21493</v>
      </c>
      <c r="C843" s="47">
        <f t="shared" si="65"/>
        <v>4.3055797986846223E-4</v>
      </c>
      <c r="D843" s="65">
        <v>755.06490071999997</v>
      </c>
      <c r="E843" s="47">
        <f t="shared" si="66"/>
        <v>-1.0315871349579897E-2</v>
      </c>
      <c r="H843" s="65">
        <v>1183.79814805</v>
      </c>
      <c r="I843" s="47">
        <f t="shared" si="67"/>
        <v>-1.3685239492456702E-2</v>
      </c>
      <c r="L843" s="65">
        <v>306.06787195999999</v>
      </c>
      <c r="M843" s="47">
        <f t="shared" si="68"/>
        <v>-2.7314625140707149E-2</v>
      </c>
      <c r="P843" s="65">
        <v>922.00273000000004</v>
      </c>
      <c r="Q843" s="47">
        <f t="shared" si="69"/>
        <v>-6.3613230823689193E-3</v>
      </c>
    </row>
    <row r="844" spans="1:17" ht="14.4" x14ac:dyDescent="0.3">
      <c r="A844" s="63">
        <v>45440</v>
      </c>
      <c r="B844" s="64">
        <v>21387.349609379999</v>
      </c>
      <c r="C844" s="47">
        <f t="shared" si="65"/>
        <v>-4.9155720755595933E-3</v>
      </c>
      <c r="D844" s="65">
        <v>741.42620713999997</v>
      </c>
      <c r="E844" s="47">
        <f t="shared" si="66"/>
        <v>-1.806294209543402E-2</v>
      </c>
      <c r="H844" s="65">
        <v>1178.2741477699999</v>
      </c>
      <c r="I844" s="47">
        <f t="shared" si="67"/>
        <v>-4.6663363083473408E-3</v>
      </c>
      <c r="L844" s="65">
        <v>288.22847743</v>
      </c>
      <c r="M844" s="47">
        <f t="shared" si="68"/>
        <v>-5.8285746935017757E-2</v>
      </c>
      <c r="P844" s="65">
        <v>919.88757391000001</v>
      </c>
      <c r="Q844" s="47">
        <f t="shared" si="69"/>
        <v>-2.2940887496071261E-3</v>
      </c>
    </row>
    <row r="845" spans="1:17" ht="14.4" x14ac:dyDescent="0.3">
      <c r="A845" s="63">
        <v>45441</v>
      </c>
      <c r="B845" s="64">
        <v>21256.30078125</v>
      </c>
      <c r="C845" s="47">
        <f t="shared" si="65"/>
        <v>-6.1273991646222381E-3</v>
      </c>
      <c r="D845" s="65">
        <v>743.18607641000006</v>
      </c>
      <c r="E845" s="47">
        <f t="shared" si="66"/>
        <v>2.3736270083960509E-3</v>
      </c>
      <c r="H845" s="65">
        <v>1186.2423959600001</v>
      </c>
      <c r="I845" s="47">
        <f t="shared" si="67"/>
        <v>6.7626436556220693E-3</v>
      </c>
      <c r="L845" s="65">
        <v>289.72758536999999</v>
      </c>
      <c r="M845" s="47">
        <f t="shared" si="68"/>
        <v>5.2011097354669467E-3</v>
      </c>
      <c r="P845" s="65">
        <v>921.26489171000003</v>
      </c>
      <c r="Q845" s="47">
        <f t="shared" si="69"/>
        <v>1.4972675347115771E-3</v>
      </c>
    </row>
    <row r="846" spans="1:17" ht="14.4" x14ac:dyDescent="0.3">
      <c r="A846" s="63">
        <v>45442</v>
      </c>
      <c r="B846" s="64">
        <v>21038.55078125</v>
      </c>
      <c r="C846" s="47">
        <f t="shared" si="65"/>
        <v>-1.0244021395861891E-2</v>
      </c>
      <c r="D846" s="65">
        <v>739.71526114000005</v>
      </c>
      <c r="E846" s="47">
        <f t="shared" si="66"/>
        <v>-4.6701833903642909E-3</v>
      </c>
      <c r="H846" s="65">
        <v>1168.44827117</v>
      </c>
      <c r="I846" s="47">
        <f t="shared" si="67"/>
        <v>-1.500041210009162E-2</v>
      </c>
      <c r="L846" s="65">
        <v>290.27727828000002</v>
      </c>
      <c r="M846" s="47">
        <f t="shared" si="68"/>
        <v>1.8972750188699372E-3</v>
      </c>
      <c r="P846" s="65">
        <v>912.90272448999997</v>
      </c>
      <c r="Q846" s="47">
        <f t="shared" si="69"/>
        <v>-9.0768326192032234E-3</v>
      </c>
    </row>
    <row r="847" spans="1:17" ht="14.4" x14ac:dyDescent="0.3">
      <c r="A847" s="63">
        <v>45443</v>
      </c>
      <c r="B847" s="64">
        <v>21103.30078125</v>
      </c>
      <c r="C847" s="47">
        <f t="shared" si="65"/>
        <v>3.0776834713208689E-3</v>
      </c>
      <c r="D847" s="65">
        <v>722.01921067000001</v>
      </c>
      <c r="E847" s="47">
        <f t="shared" si="66"/>
        <v>-2.3922786779777994E-2</v>
      </c>
      <c r="H847" s="65">
        <v>1168.44827117</v>
      </c>
      <c r="I847" s="47">
        <f t="shared" si="67"/>
        <v>0</v>
      </c>
      <c r="L847" s="65">
        <v>297.77281799999997</v>
      </c>
      <c r="M847" s="47">
        <f t="shared" si="68"/>
        <v>2.5821999449677113E-2</v>
      </c>
      <c r="P847" s="65">
        <v>906.40971807000005</v>
      </c>
      <c r="Q847" s="47">
        <f t="shared" si="69"/>
        <v>-7.1124844365288986E-3</v>
      </c>
    </row>
    <row r="848" spans="1:17" ht="14.4" x14ac:dyDescent="0.3">
      <c r="A848" s="63">
        <v>45446</v>
      </c>
      <c r="B848" s="64">
        <v>21797.400390629999</v>
      </c>
      <c r="C848" s="47">
        <f t="shared" si="65"/>
        <v>3.2890570843623568E-2</v>
      </c>
      <c r="D848" s="65">
        <v>757.70465575000003</v>
      </c>
      <c r="E848" s="47">
        <f t="shared" si="66"/>
        <v>4.9424509144134321E-2</v>
      </c>
      <c r="H848" s="65">
        <v>1195.62830794</v>
      </c>
      <c r="I848" s="47">
        <f t="shared" si="67"/>
        <v>2.3261651748420098E-2</v>
      </c>
      <c r="L848" s="65">
        <v>326.10593815999999</v>
      </c>
      <c r="M848" s="47">
        <f t="shared" si="68"/>
        <v>9.5150122668349102E-2</v>
      </c>
      <c r="P848" s="65">
        <v>906.90161025999998</v>
      </c>
      <c r="Q848" s="47">
        <f t="shared" si="69"/>
        <v>5.4268194635787026E-4</v>
      </c>
    </row>
    <row r="849" spans="1:17" ht="14.4" x14ac:dyDescent="0.3">
      <c r="A849" s="63">
        <v>45447</v>
      </c>
      <c r="B849" s="64">
        <v>20323.849609379999</v>
      </c>
      <c r="C849" s="47">
        <f t="shared" si="65"/>
        <v>-6.7602133962884503E-2</v>
      </c>
      <c r="D849" s="65">
        <v>681.34759967000002</v>
      </c>
      <c r="E849" s="47">
        <f t="shared" si="66"/>
        <v>-0.10077416774537218</v>
      </c>
      <c r="H849" s="65">
        <v>1046.67584027</v>
      </c>
      <c r="I849" s="47">
        <f t="shared" si="67"/>
        <v>-0.12458091421960116</v>
      </c>
      <c r="L849" s="65">
        <v>277.43492021999998</v>
      </c>
      <c r="M849" s="47">
        <f t="shared" si="68"/>
        <v>-0.14924910050586127</v>
      </c>
      <c r="P849" s="65">
        <v>846.98917109000001</v>
      </c>
      <c r="Q849" s="47">
        <f t="shared" si="69"/>
        <v>-6.6062777364375491E-2</v>
      </c>
    </row>
    <row r="850" spans="1:17" ht="14.4" x14ac:dyDescent="0.3">
      <c r="A850" s="63">
        <v>45448</v>
      </c>
      <c r="B850" s="64">
        <v>21054.400390629999</v>
      </c>
      <c r="C850" s="47">
        <f t="shared" si="65"/>
        <v>3.5945492379201305E-2</v>
      </c>
      <c r="D850" s="65">
        <v>703.83431847999998</v>
      </c>
      <c r="E850" s="47">
        <f t="shared" si="66"/>
        <v>3.3003299374491091E-2</v>
      </c>
      <c r="H850" s="65">
        <v>1079.91761185</v>
      </c>
      <c r="I850" s="47">
        <f t="shared" si="67"/>
        <v>3.1759376017912899E-2</v>
      </c>
      <c r="L850" s="65">
        <v>296.82337296999998</v>
      </c>
      <c r="M850" s="47">
        <f t="shared" si="68"/>
        <v>6.9884687676033508E-2</v>
      </c>
      <c r="P850" s="65">
        <v>915.01783138999997</v>
      </c>
      <c r="Q850" s="47">
        <f t="shared" si="69"/>
        <v>8.0318217306666551E-2</v>
      </c>
    </row>
    <row r="851" spans="1:17" ht="14.4" x14ac:dyDescent="0.3">
      <c r="A851" s="63">
        <v>45449</v>
      </c>
      <c r="B851" s="64">
        <v>21365</v>
      </c>
      <c r="C851" s="47">
        <f t="shared" si="65"/>
        <v>1.4752241983021719E-2</v>
      </c>
      <c r="D851" s="65">
        <v>753.64724996999996</v>
      </c>
      <c r="E851" s="47">
        <f t="shared" si="66"/>
        <v>7.077366104792393E-2</v>
      </c>
      <c r="H851" s="65">
        <v>1156.9114210299999</v>
      </c>
      <c r="I851" s="47">
        <f t="shared" si="67"/>
        <v>7.1296002894241539E-2</v>
      </c>
      <c r="L851" s="65">
        <v>320.70914956000001</v>
      </c>
      <c r="M851" s="47">
        <f t="shared" si="68"/>
        <v>8.0471346818143497E-2</v>
      </c>
      <c r="P851" s="65">
        <v>948.17137480999997</v>
      </c>
      <c r="Q851" s="47">
        <f t="shared" si="69"/>
        <v>3.623267468966862E-2</v>
      </c>
    </row>
    <row r="852" spans="1:17" ht="14.4" x14ac:dyDescent="0.3">
      <c r="A852" s="63">
        <v>45450</v>
      </c>
      <c r="B852" s="64">
        <v>21764.150390629999</v>
      </c>
      <c r="C852" s="47">
        <f t="shared" si="65"/>
        <v>1.8682442809735411E-2</v>
      </c>
      <c r="D852" s="65">
        <v>751.20304139999996</v>
      </c>
      <c r="E852" s="47">
        <f t="shared" si="66"/>
        <v>-3.2431732088152865E-3</v>
      </c>
      <c r="H852" s="65">
        <v>1236.3494781300001</v>
      </c>
      <c r="I852" s="47">
        <f t="shared" si="67"/>
        <v>6.8663906031177779E-2</v>
      </c>
      <c r="L852" s="65">
        <v>323.25765304999999</v>
      </c>
      <c r="M852" s="47">
        <f t="shared" si="68"/>
        <v>7.9464633095014392E-3</v>
      </c>
      <c r="P852" s="65">
        <v>956.82866750999995</v>
      </c>
      <c r="Q852" s="47">
        <f t="shared" si="69"/>
        <v>9.1305147254996388E-3</v>
      </c>
    </row>
    <row r="853" spans="1:17" ht="14.4" x14ac:dyDescent="0.3">
      <c r="A853" s="63">
        <v>45453</v>
      </c>
      <c r="B853" s="64">
        <v>21808.25</v>
      </c>
      <c r="C853" s="47">
        <f t="shared" si="65"/>
        <v>2.0262499835044245E-3</v>
      </c>
      <c r="D853" s="65">
        <v>790.99476664999997</v>
      </c>
      <c r="E853" s="47">
        <f t="shared" si="66"/>
        <v>5.2970665794751071E-2</v>
      </c>
      <c r="H853" s="65">
        <v>1249.5973018</v>
      </c>
      <c r="I853" s="47">
        <f t="shared" si="67"/>
        <v>1.0715274203890512E-2</v>
      </c>
      <c r="L853" s="65">
        <v>327.45513531</v>
      </c>
      <c r="M853" s="47">
        <f t="shared" si="68"/>
        <v>1.2984943188184328E-2</v>
      </c>
      <c r="P853" s="65">
        <v>959.53407455000001</v>
      </c>
      <c r="Q853" s="47">
        <f t="shared" si="69"/>
        <v>2.8274728087323009E-3</v>
      </c>
    </row>
    <row r="854" spans="1:17" ht="14.4" x14ac:dyDescent="0.3">
      <c r="A854" s="63">
        <v>45454</v>
      </c>
      <c r="B854" s="64">
        <v>21852</v>
      </c>
      <c r="C854" s="47">
        <f t="shared" si="65"/>
        <v>2.0061215365745344E-3</v>
      </c>
      <c r="D854" s="65">
        <v>799.50062223999998</v>
      </c>
      <c r="E854" s="47">
        <f t="shared" si="66"/>
        <v>1.0753365191054076E-2</v>
      </c>
      <c r="H854" s="65">
        <v>1207.40958286</v>
      </c>
      <c r="I854" s="47">
        <f t="shared" si="67"/>
        <v>-3.3761051563755862E-2</v>
      </c>
      <c r="L854" s="65">
        <v>348.39269624999997</v>
      </c>
      <c r="M854" s="47">
        <f t="shared" si="68"/>
        <v>6.3940243050940371E-2</v>
      </c>
      <c r="P854" s="65">
        <v>967.45357815</v>
      </c>
      <c r="Q854" s="47">
        <f t="shared" si="69"/>
        <v>8.2534886566838495E-3</v>
      </c>
    </row>
    <row r="855" spans="1:17" ht="14.4" x14ac:dyDescent="0.3">
      <c r="A855" s="63">
        <v>45455</v>
      </c>
      <c r="B855" s="64">
        <v>21960.94921875</v>
      </c>
      <c r="C855" s="47">
        <f t="shared" si="65"/>
        <v>4.9857779036244221E-3</v>
      </c>
      <c r="D855" s="65">
        <v>809.37520529999995</v>
      </c>
      <c r="E855" s="47">
        <f t="shared" si="66"/>
        <v>1.2350938555036883E-2</v>
      </c>
      <c r="H855" s="65">
        <v>1228.62565473</v>
      </c>
      <c r="I855" s="47">
        <f t="shared" si="67"/>
        <v>1.7571561606911645E-2</v>
      </c>
      <c r="L855" s="65">
        <v>354.08928644999997</v>
      </c>
      <c r="M855" s="47">
        <f t="shared" si="68"/>
        <v>1.6351060918660121E-2</v>
      </c>
      <c r="P855" s="65">
        <v>1000.65628127</v>
      </c>
      <c r="Q855" s="47">
        <f t="shared" si="69"/>
        <v>3.4319686101623059E-2</v>
      </c>
    </row>
    <row r="856" spans="1:17" ht="14.4" x14ac:dyDescent="0.3">
      <c r="A856" s="63">
        <v>45456</v>
      </c>
      <c r="B856" s="64">
        <v>22074.30078125</v>
      </c>
      <c r="C856" s="47">
        <f t="shared" si="65"/>
        <v>5.1615056057423558E-3</v>
      </c>
      <c r="D856" s="65">
        <v>849.21580494</v>
      </c>
      <c r="E856" s="47">
        <f t="shared" si="66"/>
        <v>4.9223894405355351E-2</v>
      </c>
      <c r="H856" s="65">
        <v>1199.44133468</v>
      </c>
      <c r="I856" s="47">
        <f t="shared" si="67"/>
        <v>-2.3753630682906035E-2</v>
      </c>
      <c r="L856" s="65">
        <v>349.94175446999998</v>
      </c>
      <c r="M856" s="47">
        <f t="shared" si="68"/>
        <v>-1.1713237702224766E-2</v>
      </c>
      <c r="P856" s="65">
        <v>1005.77196005</v>
      </c>
      <c r="Q856" s="47">
        <f t="shared" si="69"/>
        <v>5.1123236577372833E-3</v>
      </c>
    </row>
    <row r="857" spans="1:17" ht="14.4" x14ac:dyDescent="0.3">
      <c r="A857" s="63">
        <v>45457</v>
      </c>
      <c r="B857" s="64">
        <v>22214.30078125</v>
      </c>
      <c r="C857" s="47">
        <f t="shared" si="65"/>
        <v>6.3422167427797937E-3</v>
      </c>
      <c r="D857" s="65">
        <v>914.62284574</v>
      </c>
      <c r="E857" s="47">
        <f t="shared" si="66"/>
        <v>7.7020517540439926E-2</v>
      </c>
      <c r="H857" s="65">
        <v>1192.9885201899999</v>
      </c>
      <c r="I857" s="47">
        <f t="shared" si="67"/>
        <v>-5.379850021361432E-3</v>
      </c>
      <c r="L857" s="65">
        <v>366.73178343000001</v>
      </c>
      <c r="M857" s="47">
        <f t="shared" si="68"/>
        <v>4.797949586047312E-2</v>
      </c>
      <c r="P857" s="65">
        <v>1024.0703495</v>
      </c>
      <c r="Q857" s="47">
        <f t="shared" si="69"/>
        <v>1.8193377999015103E-2</v>
      </c>
    </row>
    <row r="858" spans="1:17" ht="14.4" x14ac:dyDescent="0.3">
      <c r="A858" s="63">
        <v>45461</v>
      </c>
      <c r="B858" s="64">
        <v>22329.599609379999</v>
      </c>
      <c r="C858" s="47">
        <f t="shared" si="65"/>
        <v>5.1902974244102396E-3</v>
      </c>
      <c r="D858" s="65">
        <v>911.29870254000002</v>
      </c>
      <c r="E858" s="47">
        <f t="shared" si="66"/>
        <v>-3.6344414700362204E-3</v>
      </c>
      <c r="H858" s="65">
        <v>1139.01952633</v>
      </c>
      <c r="I858" s="47">
        <f t="shared" si="67"/>
        <v>-4.5238485489704994E-2</v>
      </c>
      <c r="L858" s="65">
        <v>374.82694635000001</v>
      </c>
      <c r="M858" s="47">
        <f t="shared" si="68"/>
        <v>2.2073796943059776E-2</v>
      </c>
      <c r="P858" s="65">
        <v>1049.3536080399999</v>
      </c>
      <c r="Q858" s="47">
        <f t="shared" si="69"/>
        <v>2.4688986017751935E-2</v>
      </c>
    </row>
    <row r="859" spans="1:17" ht="14.4" x14ac:dyDescent="0.3">
      <c r="A859" s="63">
        <v>45462</v>
      </c>
      <c r="B859" s="64">
        <v>22224.900390629999</v>
      </c>
      <c r="C859" s="47">
        <f t="shared" si="65"/>
        <v>-4.6888086029996945E-3</v>
      </c>
      <c r="D859" s="65">
        <v>872.97355131999996</v>
      </c>
      <c r="E859" s="47">
        <f t="shared" si="66"/>
        <v>-4.205553142255003E-2</v>
      </c>
      <c r="H859" s="65">
        <v>1123.13191491</v>
      </c>
      <c r="I859" s="47">
        <f t="shared" si="67"/>
        <v>-1.3948497855160502E-2</v>
      </c>
      <c r="L859" s="65">
        <v>366.08215000000001</v>
      </c>
      <c r="M859" s="47">
        <f t="shared" si="68"/>
        <v>-2.3330223280784157E-2</v>
      </c>
      <c r="P859" s="65">
        <v>1032.92440891</v>
      </c>
      <c r="Q859" s="47">
        <f t="shared" si="69"/>
        <v>-1.5656494630715279E-2</v>
      </c>
    </row>
    <row r="860" spans="1:17" ht="14.4" x14ac:dyDescent="0.3">
      <c r="A860" s="63">
        <v>45463</v>
      </c>
      <c r="B860" s="64">
        <v>22305.099609379999</v>
      </c>
      <c r="C860" s="47">
        <f t="shared" si="65"/>
        <v>3.6085299524586389E-3</v>
      </c>
      <c r="D860" s="65">
        <v>853.02878985999996</v>
      </c>
      <c r="E860" s="47">
        <f t="shared" si="66"/>
        <v>-2.2846925235984639E-2</v>
      </c>
      <c r="H860" s="65">
        <v>1129.8291541799999</v>
      </c>
      <c r="I860" s="47">
        <f t="shared" si="67"/>
        <v>5.963003259983557E-3</v>
      </c>
      <c r="L860" s="65">
        <v>366.88169422999999</v>
      </c>
      <c r="M860" s="47">
        <f t="shared" si="68"/>
        <v>2.1840568571835917E-3</v>
      </c>
      <c r="P860" s="65">
        <v>1043.74603708</v>
      </c>
      <c r="Q860" s="47">
        <f t="shared" si="69"/>
        <v>1.0476689365313208E-2</v>
      </c>
    </row>
    <row r="861" spans="1:17" ht="14.4" x14ac:dyDescent="0.3">
      <c r="A861" s="63">
        <v>45464</v>
      </c>
      <c r="B861" s="64">
        <v>22236.19921875</v>
      </c>
      <c r="C861" s="47">
        <f t="shared" si="65"/>
        <v>-3.0889972175253133E-3</v>
      </c>
      <c r="D861" s="65">
        <v>849.06918174999998</v>
      </c>
      <c r="E861" s="47">
        <f t="shared" si="66"/>
        <v>-4.6418223594186792E-3</v>
      </c>
      <c r="H861" s="65">
        <v>1131.05127814</v>
      </c>
      <c r="I861" s="47">
        <f t="shared" si="67"/>
        <v>1.0816891699763076E-3</v>
      </c>
      <c r="L861" s="65">
        <v>364.93283391</v>
      </c>
      <c r="M861" s="47">
        <f t="shared" si="68"/>
        <v>-5.3119584614059745E-3</v>
      </c>
      <c r="P861" s="65">
        <v>1042.8606311399999</v>
      </c>
      <c r="Q861" s="47">
        <f t="shared" si="69"/>
        <v>-8.4829633698735307E-4</v>
      </c>
    </row>
    <row r="862" spans="1:17" ht="14.4" x14ac:dyDescent="0.3">
      <c r="A862" s="63">
        <v>45467</v>
      </c>
      <c r="B862" s="64">
        <v>22289.099609379999</v>
      </c>
      <c r="C862" s="47">
        <f t="shared" si="65"/>
        <v>2.3790212576164649E-3</v>
      </c>
      <c r="D862" s="65">
        <v>856.59735392000005</v>
      </c>
      <c r="E862" s="47">
        <f t="shared" si="66"/>
        <v>8.8663825419783571E-3</v>
      </c>
      <c r="H862" s="65">
        <v>1147.18331435</v>
      </c>
      <c r="I862" s="47">
        <f t="shared" si="67"/>
        <v>1.4262868997883871E-2</v>
      </c>
      <c r="L862" s="65">
        <v>358.48668973999997</v>
      </c>
      <c r="M862" s="47">
        <f t="shared" si="68"/>
        <v>-1.7663919414797835E-2</v>
      </c>
      <c r="P862" s="65">
        <v>1048.0746883500001</v>
      </c>
      <c r="Q862" s="47">
        <f t="shared" si="69"/>
        <v>4.9997641624466294E-3</v>
      </c>
    </row>
    <row r="863" spans="1:17" ht="14.4" x14ac:dyDescent="0.3">
      <c r="A863" s="63">
        <v>45468</v>
      </c>
      <c r="B863" s="64">
        <v>22370.650390629999</v>
      </c>
      <c r="C863" s="47">
        <f t="shared" si="65"/>
        <v>3.6587741397897666E-3</v>
      </c>
      <c r="D863" s="65">
        <v>838.11911759999998</v>
      </c>
      <c r="E863" s="47">
        <f t="shared" si="66"/>
        <v>-2.1571671025411354E-2</v>
      </c>
      <c r="H863" s="65">
        <v>1157.8891202</v>
      </c>
      <c r="I863" s="47">
        <f t="shared" si="67"/>
        <v>9.3322538046727299E-3</v>
      </c>
      <c r="L863" s="65">
        <v>360.73535165999999</v>
      </c>
      <c r="M863" s="47">
        <f t="shared" si="68"/>
        <v>6.2726510756394571E-3</v>
      </c>
      <c r="P863" s="65">
        <v>1027.8579193600001</v>
      </c>
      <c r="Q863" s="47">
        <f t="shared" si="69"/>
        <v>-1.9289435394940768E-2</v>
      </c>
    </row>
    <row r="864" spans="1:17" ht="14.4" x14ac:dyDescent="0.3">
      <c r="A864" s="63">
        <v>45469</v>
      </c>
      <c r="B864" s="64">
        <v>22436.80078125</v>
      </c>
      <c r="C864" s="47">
        <f t="shared" si="65"/>
        <v>2.9570168709851519E-3</v>
      </c>
      <c r="D864" s="65">
        <v>844.13189022999995</v>
      </c>
      <c r="E864" s="47">
        <f t="shared" si="66"/>
        <v>7.1741265695237644E-3</v>
      </c>
      <c r="H864" s="65">
        <v>1162.87538593</v>
      </c>
      <c r="I864" s="47">
        <f t="shared" si="67"/>
        <v>4.3063412921080513E-3</v>
      </c>
      <c r="L864" s="65">
        <v>352.74010929000002</v>
      </c>
      <c r="M864" s="47">
        <f t="shared" si="68"/>
        <v>-2.2163733976191091E-2</v>
      </c>
      <c r="P864" s="65">
        <v>1036.51522189</v>
      </c>
      <c r="Q864" s="47">
        <f t="shared" si="69"/>
        <v>8.4226646182679055E-3</v>
      </c>
    </row>
    <row r="865" spans="1:17" ht="14.4" x14ac:dyDescent="0.3">
      <c r="A865" s="63">
        <v>45470</v>
      </c>
      <c r="B865" s="64">
        <v>22537.400390629999</v>
      </c>
      <c r="C865" s="47">
        <f t="shared" si="65"/>
        <v>4.4836877753118287E-3</v>
      </c>
      <c r="D865" s="65">
        <v>873.65789060999998</v>
      </c>
      <c r="E865" s="47">
        <f t="shared" si="66"/>
        <v>3.4977946837140728E-2</v>
      </c>
      <c r="H865" s="65">
        <v>1156.3248015300001</v>
      </c>
      <c r="I865" s="47">
        <f t="shared" si="67"/>
        <v>-5.6330923151848289E-3</v>
      </c>
      <c r="L865" s="65">
        <v>346.39388566000002</v>
      </c>
      <c r="M865" s="47">
        <f t="shared" si="68"/>
        <v>-1.7991216373929642E-2</v>
      </c>
      <c r="P865" s="65">
        <v>1039.2206289400001</v>
      </c>
      <c r="Q865" s="47">
        <f t="shared" si="69"/>
        <v>2.6100987162223088E-3</v>
      </c>
    </row>
    <row r="866" spans="1:17" ht="14.4" x14ac:dyDescent="0.3">
      <c r="A866" s="63">
        <v>45471</v>
      </c>
      <c r="B866" s="64">
        <v>22559.69921875</v>
      </c>
      <c r="C866" s="47">
        <f t="shared" si="65"/>
        <v>9.8941438380228952E-4</v>
      </c>
      <c r="D866" s="65">
        <v>867.10745076000001</v>
      </c>
      <c r="E866" s="47">
        <f t="shared" si="66"/>
        <v>-7.4977172648510448E-3</v>
      </c>
      <c r="H866" s="65">
        <v>1157.30915482</v>
      </c>
      <c r="I866" s="47">
        <f t="shared" si="67"/>
        <v>8.5127750325653118E-4</v>
      </c>
      <c r="L866" s="65">
        <v>350.44145712</v>
      </c>
      <c r="M866" s="47">
        <f t="shared" si="68"/>
        <v>1.1684881366447852E-2</v>
      </c>
      <c r="P866" s="65">
        <v>1039.5157642500001</v>
      </c>
      <c r="Q866" s="47">
        <f t="shared" si="69"/>
        <v>2.8399677775925447E-4</v>
      </c>
    </row>
    <row r="867" spans="1:17" ht="14.4" x14ac:dyDescent="0.3">
      <c r="A867" s="63">
        <v>45474</v>
      </c>
      <c r="B867" s="64">
        <v>22727.599609379999</v>
      </c>
      <c r="C867" s="47">
        <f t="shared" si="65"/>
        <v>7.4424924287310734E-3</v>
      </c>
      <c r="D867" s="65">
        <v>864.22327486999995</v>
      </c>
      <c r="E867" s="47">
        <f t="shared" si="66"/>
        <v>-3.3262035604377793E-3</v>
      </c>
      <c r="H867" s="65">
        <v>1151.1569202200001</v>
      </c>
      <c r="I867" s="47">
        <f t="shared" si="67"/>
        <v>-5.3159819693613386E-3</v>
      </c>
      <c r="L867" s="65">
        <v>360.23564900999997</v>
      </c>
      <c r="M867" s="47">
        <f t="shared" si="68"/>
        <v>2.7948154223791599E-2</v>
      </c>
      <c r="P867" s="65">
        <v>1041.6800898900001</v>
      </c>
      <c r="Q867" s="47">
        <f t="shared" si="69"/>
        <v>2.082051772982485E-3</v>
      </c>
    </row>
    <row r="868" spans="1:17" ht="14.4" x14ac:dyDescent="0.3">
      <c r="A868" s="63">
        <v>45475</v>
      </c>
      <c r="B868" s="64">
        <v>22677.80078125</v>
      </c>
      <c r="C868" s="47">
        <f t="shared" si="65"/>
        <v>-2.1911169232955441E-3</v>
      </c>
      <c r="D868" s="65">
        <v>882.11487179999995</v>
      </c>
      <c r="E868" s="47">
        <f t="shared" si="66"/>
        <v>2.0702516872958876E-2</v>
      </c>
      <c r="H868" s="65">
        <v>1193.188987</v>
      </c>
      <c r="I868" s="47">
        <f t="shared" si="67"/>
        <v>3.6512890676943632E-2</v>
      </c>
      <c r="L868" s="65">
        <v>363.73356754999998</v>
      </c>
      <c r="M868" s="47">
        <f t="shared" si="68"/>
        <v>9.710084356206794E-3</v>
      </c>
      <c r="P868" s="65">
        <v>1042.3195497300001</v>
      </c>
      <c r="Q868" s="47">
        <f t="shared" si="69"/>
        <v>6.1387353584496651E-4</v>
      </c>
    </row>
    <row r="869" spans="1:17" ht="14.4" x14ac:dyDescent="0.3">
      <c r="A869" s="63">
        <v>45476</v>
      </c>
      <c r="B869" s="64">
        <v>22851.19921875</v>
      </c>
      <c r="C869" s="47">
        <f t="shared" si="65"/>
        <v>7.6461751812972878E-3</v>
      </c>
      <c r="D869" s="65">
        <v>900.64198252000006</v>
      </c>
      <c r="E869" s="47">
        <f t="shared" si="66"/>
        <v>2.1003059025855197E-2</v>
      </c>
      <c r="H869" s="65">
        <v>1225.86965719</v>
      </c>
      <c r="I869" s="47">
        <f t="shared" si="67"/>
        <v>2.7389349504614469E-2</v>
      </c>
      <c r="L869" s="65">
        <v>366.93164451000001</v>
      </c>
      <c r="M869" s="47">
        <f t="shared" si="68"/>
        <v>8.7923613471843076E-3</v>
      </c>
      <c r="P869" s="65">
        <v>1053.4855024399999</v>
      </c>
      <c r="Q869" s="47">
        <f t="shared" si="69"/>
        <v>1.0712600289318308E-2</v>
      </c>
    </row>
    <row r="870" spans="1:17" ht="14.4" x14ac:dyDescent="0.3">
      <c r="A870" s="63">
        <v>45477</v>
      </c>
      <c r="B870" s="64">
        <v>22914.19921875</v>
      </c>
      <c r="C870" s="47">
        <f t="shared" si="65"/>
        <v>2.7569669056277668E-3</v>
      </c>
      <c r="D870" s="65">
        <v>902.15738205000002</v>
      </c>
      <c r="E870" s="47">
        <f t="shared" si="66"/>
        <v>1.6825770499393489E-3</v>
      </c>
      <c r="H870" s="65">
        <v>1209.0371433299999</v>
      </c>
      <c r="I870" s="47">
        <f t="shared" si="67"/>
        <v>-1.3731079614601405E-2</v>
      </c>
      <c r="L870" s="65">
        <v>390.46765921999997</v>
      </c>
      <c r="M870" s="47">
        <f t="shared" si="68"/>
        <v>6.4142777168837428E-2</v>
      </c>
      <c r="P870" s="65">
        <v>1083.7860613099999</v>
      </c>
      <c r="Q870" s="47">
        <f t="shared" si="69"/>
        <v>2.876219824555748E-2</v>
      </c>
    </row>
    <row r="871" spans="1:17" ht="14.4" x14ac:dyDescent="0.3">
      <c r="A871" s="63">
        <v>45478</v>
      </c>
      <c r="B871" s="64">
        <v>22987.650390629999</v>
      </c>
      <c r="C871" s="47">
        <f t="shared" si="65"/>
        <v>3.2054871819344743E-3</v>
      </c>
      <c r="D871" s="65">
        <v>880.55059787000005</v>
      </c>
      <c r="E871" s="47">
        <f t="shared" si="66"/>
        <v>-2.3950127339092631E-2</v>
      </c>
      <c r="H871" s="65">
        <v>1208.79105394</v>
      </c>
      <c r="I871" s="47">
        <f t="shared" si="67"/>
        <v>-2.0354162926883301E-4</v>
      </c>
      <c r="L871" s="65">
        <v>384.82099930999999</v>
      </c>
      <c r="M871" s="47">
        <f t="shared" si="68"/>
        <v>-1.4461274260920254E-2</v>
      </c>
      <c r="P871" s="65">
        <v>1083.7368721</v>
      </c>
      <c r="Q871" s="47">
        <f t="shared" si="69"/>
        <v>-4.5386457489970944E-5</v>
      </c>
    </row>
    <row r="872" spans="1:17" ht="14.4" x14ac:dyDescent="0.3">
      <c r="A872" s="63">
        <v>45481</v>
      </c>
      <c r="B872" s="64">
        <v>22971.150390629999</v>
      </c>
      <c r="C872" s="47">
        <f t="shared" si="65"/>
        <v>-7.1777670704120666E-4</v>
      </c>
      <c r="D872" s="65">
        <v>879.08407273</v>
      </c>
      <c r="E872" s="47">
        <f t="shared" si="66"/>
        <v>-1.6654637945252571E-3</v>
      </c>
      <c r="H872" s="65">
        <v>1252.7426179199999</v>
      </c>
      <c r="I872" s="47">
        <f t="shared" si="67"/>
        <v>3.6359934859496068E-2</v>
      </c>
      <c r="L872" s="65">
        <v>387.16960175000003</v>
      </c>
      <c r="M872" s="47">
        <f t="shared" si="68"/>
        <v>6.1031036357452884E-3</v>
      </c>
      <c r="P872" s="65">
        <v>1079.94930224</v>
      </c>
      <c r="Q872" s="47">
        <f t="shared" si="69"/>
        <v>-3.49491648527267E-3</v>
      </c>
    </row>
    <row r="873" spans="1:17" ht="14.4" x14ac:dyDescent="0.3">
      <c r="A873" s="63">
        <v>45482</v>
      </c>
      <c r="B873" s="64">
        <v>23067.349609379999</v>
      </c>
      <c r="C873" s="47">
        <f t="shared" si="65"/>
        <v>4.1878276496434275E-3</v>
      </c>
      <c r="D873" s="65">
        <v>886.36777515999995</v>
      </c>
      <c r="E873" s="47">
        <f t="shared" si="66"/>
        <v>8.2855584078327382E-3</v>
      </c>
      <c r="H873" s="65">
        <v>1283.2084836500001</v>
      </c>
      <c r="I873" s="47">
        <f t="shared" si="67"/>
        <v>2.4319333671735555E-2</v>
      </c>
      <c r="L873" s="65">
        <v>366.78174371</v>
      </c>
      <c r="M873" s="47">
        <f t="shared" si="68"/>
        <v>-5.2658726170255243E-2</v>
      </c>
      <c r="P873" s="65">
        <v>1076.70281378</v>
      </c>
      <c r="Q873" s="47">
        <f t="shared" si="69"/>
        <v>-3.0061489490905702E-3</v>
      </c>
    </row>
    <row r="874" spans="1:17" ht="14.4" x14ac:dyDescent="0.3">
      <c r="A874" s="63">
        <v>45483</v>
      </c>
      <c r="B874" s="64">
        <v>22977.650390629999</v>
      </c>
      <c r="C874" s="47">
        <f t="shared" si="65"/>
        <v>-3.8885793239776811E-3</v>
      </c>
      <c r="D874" s="65">
        <v>853.37095950000003</v>
      </c>
      <c r="E874" s="47">
        <f t="shared" si="66"/>
        <v>-3.7227002813864263E-2</v>
      </c>
      <c r="H874" s="65">
        <v>1324.4530643999999</v>
      </c>
      <c r="I874" s="47">
        <f t="shared" si="67"/>
        <v>3.2141761276922365E-2</v>
      </c>
      <c r="L874" s="65">
        <v>359.78590663</v>
      </c>
      <c r="M874" s="47">
        <f t="shared" si="68"/>
        <v>-1.9073569500044019E-2</v>
      </c>
      <c r="P874" s="65">
        <v>1061.20820981</v>
      </c>
      <c r="Q874" s="47">
        <f t="shared" si="69"/>
        <v>-1.4390789892712252E-2</v>
      </c>
    </row>
    <row r="875" spans="1:17" ht="14.4" x14ac:dyDescent="0.3">
      <c r="A875" s="63">
        <v>45484</v>
      </c>
      <c r="B875" s="64">
        <v>23005.25</v>
      </c>
      <c r="C875" s="47">
        <f t="shared" si="65"/>
        <v>1.2011502003379526E-3</v>
      </c>
      <c r="D875" s="65">
        <v>850.63345568</v>
      </c>
      <c r="E875" s="47">
        <f t="shared" si="66"/>
        <v>-3.2078708438870729E-3</v>
      </c>
      <c r="H875" s="65">
        <v>1371.65300824</v>
      </c>
      <c r="I875" s="47">
        <f t="shared" si="67"/>
        <v>3.5637309549646057E-2</v>
      </c>
      <c r="L875" s="65">
        <v>369.58006854000001</v>
      </c>
      <c r="M875" s="47">
        <f t="shared" si="68"/>
        <v>2.7222194448189407E-2</v>
      </c>
      <c r="P875" s="65">
        <v>1058.6503704300001</v>
      </c>
      <c r="Q875" s="47">
        <f t="shared" si="69"/>
        <v>-2.4103086994190503E-3</v>
      </c>
    </row>
    <row r="876" spans="1:17" ht="14.4" x14ac:dyDescent="0.3">
      <c r="A876" s="63">
        <v>45485</v>
      </c>
      <c r="B876" s="64">
        <v>23095.44921875</v>
      </c>
      <c r="C876" s="47">
        <f t="shared" si="65"/>
        <v>3.9208101954988361E-3</v>
      </c>
      <c r="D876" s="65">
        <v>851.75781117999998</v>
      </c>
      <c r="E876" s="47">
        <f t="shared" si="66"/>
        <v>1.3217861259655628E-3</v>
      </c>
      <c r="H876" s="65">
        <v>1336.4622263399999</v>
      </c>
      <c r="I876" s="47">
        <f t="shared" si="67"/>
        <v>-2.5655746525248491E-2</v>
      </c>
      <c r="L876" s="65">
        <v>362.68417199999999</v>
      </c>
      <c r="M876" s="47">
        <f t="shared" si="68"/>
        <v>-1.865873494542547E-2</v>
      </c>
      <c r="P876" s="65">
        <v>1046.74657944</v>
      </c>
      <c r="Q876" s="47">
        <f t="shared" si="69"/>
        <v>-1.1244308151675209E-2</v>
      </c>
    </row>
    <row r="877" spans="1:17" ht="14.4" x14ac:dyDescent="0.3">
      <c r="A877" s="63">
        <v>45488</v>
      </c>
      <c r="B877" s="64">
        <v>23209.849609379999</v>
      </c>
      <c r="C877" s="47">
        <f t="shared" si="65"/>
        <v>4.9533736948108587E-3</v>
      </c>
      <c r="D877" s="65">
        <v>865.64092560999995</v>
      </c>
      <c r="E877" s="47">
        <f t="shared" si="66"/>
        <v>1.6299368491574873E-2</v>
      </c>
      <c r="H877" s="65">
        <v>1309.1955225900001</v>
      </c>
      <c r="I877" s="47">
        <f t="shared" si="67"/>
        <v>-2.0402150702509281E-2</v>
      </c>
      <c r="L877" s="65">
        <v>360.68536139999998</v>
      </c>
      <c r="M877" s="47">
        <f t="shared" si="68"/>
        <v>-5.5111602719735142E-3</v>
      </c>
      <c r="P877" s="65">
        <v>1047.87793147</v>
      </c>
      <c r="Q877" s="47">
        <f t="shared" si="69"/>
        <v>1.0808270618904992E-3</v>
      </c>
    </row>
    <row r="878" spans="1:17" ht="14.4" x14ac:dyDescent="0.3">
      <c r="A878" s="63">
        <v>45489</v>
      </c>
      <c r="B878" s="64">
        <v>23204.25</v>
      </c>
      <c r="C878" s="47">
        <f t="shared" si="65"/>
        <v>-2.412600458098213E-4</v>
      </c>
      <c r="D878" s="65">
        <v>867.74291564999999</v>
      </c>
      <c r="E878" s="47">
        <f t="shared" si="66"/>
        <v>2.4282470685161872E-3</v>
      </c>
      <c r="H878" s="65">
        <v>1301.27144443</v>
      </c>
      <c r="I878" s="47">
        <f t="shared" si="67"/>
        <v>-6.0526315766218364E-3</v>
      </c>
      <c r="L878" s="65">
        <v>362.78412251999998</v>
      </c>
      <c r="M878" s="47">
        <f t="shared" si="68"/>
        <v>5.8188142481128136E-3</v>
      </c>
      <c r="P878" s="65">
        <v>1039.6633319099999</v>
      </c>
      <c r="Q878" s="47">
        <f t="shared" si="69"/>
        <v>-7.8392714583428447E-3</v>
      </c>
    </row>
    <row r="879" spans="1:17" ht="14.4" x14ac:dyDescent="0.3">
      <c r="A879" s="63">
        <v>45491</v>
      </c>
      <c r="B879" s="64">
        <v>23210.05078125</v>
      </c>
      <c r="C879" s="47">
        <f t="shared" si="65"/>
        <v>2.4998787937557942E-4</v>
      </c>
      <c r="D879" s="65">
        <v>871.40922850000004</v>
      </c>
      <c r="E879" s="47">
        <f t="shared" si="66"/>
        <v>4.2251141252518387E-3</v>
      </c>
      <c r="H879" s="65">
        <v>1296.1035673700001</v>
      </c>
      <c r="I879" s="47">
        <f t="shared" si="67"/>
        <v>-3.9714058754771742E-3</v>
      </c>
      <c r="L879" s="65">
        <v>351.54081294000002</v>
      </c>
      <c r="M879" s="47">
        <f t="shared" si="68"/>
        <v>-3.0991735531039177E-2</v>
      </c>
      <c r="P879" s="65">
        <v>994.45843968999998</v>
      </c>
      <c r="Q879" s="47">
        <f t="shared" si="69"/>
        <v>-4.3480317938069946E-2</v>
      </c>
    </row>
    <row r="880" spans="1:17" ht="14.4" x14ac:dyDescent="0.3">
      <c r="A880" s="63">
        <v>45492</v>
      </c>
      <c r="B880" s="64">
        <v>22853.599609379999</v>
      </c>
      <c r="C880" s="47">
        <f t="shared" si="65"/>
        <v>-1.5357621369702312E-2</v>
      </c>
      <c r="D880" s="65">
        <v>848.62921444000006</v>
      </c>
      <c r="E880" s="47">
        <f t="shared" si="66"/>
        <v>-2.614158000049227E-2</v>
      </c>
      <c r="H880" s="65">
        <v>1315.3969750700001</v>
      </c>
      <c r="I880" s="47">
        <f t="shared" si="67"/>
        <v>1.4885699095134264E-2</v>
      </c>
      <c r="L880" s="65">
        <v>340.99709705999999</v>
      </c>
      <c r="M880" s="47">
        <f t="shared" si="68"/>
        <v>-2.999286424759906E-2</v>
      </c>
      <c r="P880" s="65">
        <v>979.75643027000001</v>
      </c>
      <c r="Q880" s="47">
        <f t="shared" si="69"/>
        <v>-1.4783935490137678E-2</v>
      </c>
    </row>
    <row r="881" spans="1:17" ht="14.4" x14ac:dyDescent="0.3">
      <c r="A881" s="63">
        <v>45495</v>
      </c>
      <c r="B881" s="64">
        <v>22942.650390629999</v>
      </c>
      <c r="C881" s="47">
        <f t="shared" si="65"/>
        <v>3.8965757155144942E-3</v>
      </c>
      <c r="D881" s="65">
        <v>856.98839796000004</v>
      </c>
      <c r="E881" s="47">
        <f t="shared" si="66"/>
        <v>9.8502188915521316E-3</v>
      </c>
      <c r="H881" s="65">
        <v>1295.4145170899999</v>
      </c>
      <c r="I881" s="47">
        <f t="shared" si="67"/>
        <v>-1.5191199583636572E-2</v>
      </c>
      <c r="L881" s="65">
        <v>349.39210155000001</v>
      </c>
      <c r="M881" s="47">
        <f t="shared" si="68"/>
        <v>2.461899107757759E-2</v>
      </c>
      <c r="P881" s="65">
        <v>981.33515093000005</v>
      </c>
      <c r="Q881" s="47">
        <f t="shared" si="69"/>
        <v>1.6113399322779109E-3</v>
      </c>
    </row>
    <row r="882" spans="1:17" ht="14.4" x14ac:dyDescent="0.3">
      <c r="A882" s="63">
        <v>45496</v>
      </c>
      <c r="B882" s="64">
        <v>22865.19921875</v>
      </c>
      <c r="C882" s="47">
        <f t="shared" si="65"/>
        <v>-3.3758598314181931E-3</v>
      </c>
      <c r="D882" s="65">
        <v>860.85025727000004</v>
      </c>
      <c r="E882" s="47">
        <f t="shared" si="66"/>
        <v>4.5063145769450585E-3</v>
      </c>
      <c r="H882" s="65">
        <v>1260.9620033399999</v>
      </c>
      <c r="I882" s="47">
        <f t="shared" si="67"/>
        <v>-2.6595744679003275E-2</v>
      </c>
      <c r="L882" s="65">
        <v>344.79482718999998</v>
      </c>
      <c r="M882" s="47">
        <f t="shared" si="68"/>
        <v>-1.3157922974232239E-2</v>
      </c>
      <c r="P882" s="65">
        <v>955.92729773999997</v>
      </c>
      <c r="Q882" s="47">
        <f t="shared" si="69"/>
        <v>-2.5891106790499996E-2</v>
      </c>
    </row>
    <row r="883" spans="1:17" ht="14.4" x14ac:dyDescent="0.3">
      <c r="A883" s="63">
        <v>45497</v>
      </c>
      <c r="B883" s="64">
        <v>22921.44921875</v>
      </c>
      <c r="C883" s="47">
        <f t="shared" si="65"/>
        <v>2.4600704092652137E-3</v>
      </c>
      <c r="D883" s="65">
        <v>865.73867440000004</v>
      </c>
      <c r="E883" s="47">
        <f t="shared" si="66"/>
        <v>5.6785917047903478E-3</v>
      </c>
      <c r="H883" s="65">
        <v>1308.60490807</v>
      </c>
      <c r="I883" s="47">
        <f t="shared" si="67"/>
        <v>3.7782982043713442E-2</v>
      </c>
      <c r="L883" s="65">
        <v>361.33497484999998</v>
      </c>
      <c r="M883" s="47">
        <f t="shared" si="68"/>
        <v>4.797098551274237E-2</v>
      </c>
      <c r="P883" s="65">
        <v>976.84561780000001</v>
      </c>
      <c r="Q883" s="47">
        <f t="shared" si="69"/>
        <v>2.1882752076915368E-2</v>
      </c>
    </row>
    <row r="884" spans="1:17" ht="14.4" x14ac:dyDescent="0.3">
      <c r="A884" s="63">
        <v>45498</v>
      </c>
      <c r="B884" s="64">
        <v>22917.25</v>
      </c>
      <c r="C884" s="47">
        <f t="shared" si="65"/>
        <v>-1.8320040368846602E-4</v>
      </c>
      <c r="D884" s="65">
        <v>864.27214925999999</v>
      </c>
      <c r="E884" s="47">
        <f t="shared" si="66"/>
        <v>-1.6939582155278687E-3</v>
      </c>
      <c r="H884" s="65">
        <v>1299.6472544999999</v>
      </c>
      <c r="I884" s="47">
        <f t="shared" si="67"/>
        <v>-6.8451933159957568E-3</v>
      </c>
      <c r="L884" s="65">
        <v>358.18684816000001</v>
      </c>
      <c r="M884" s="47">
        <f t="shared" si="68"/>
        <v>-8.7124881595169734E-3</v>
      </c>
      <c r="P884" s="65">
        <v>980.89112033000004</v>
      </c>
      <c r="Q884" s="47">
        <f t="shared" si="69"/>
        <v>4.1413939483201379E-3</v>
      </c>
    </row>
    <row r="885" spans="1:17" ht="14.4" x14ac:dyDescent="0.3">
      <c r="A885" s="63">
        <v>45499</v>
      </c>
      <c r="B885" s="64">
        <v>23292.05078125</v>
      </c>
      <c r="C885" s="47">
        <f t="shared" si="65"/>
        <v>1.6354526884770237E-2</v>
      </c>
      <c r="D885" s="65">
        <v>860.41028994999999</v>
      </c>
      <c r="E885" s="47">
        <f t="shared" si="66"/>
        <v>-4.4683371011162709E-3</v>
      </c>
      <c r="H885" s="65">
        <v>1339.85825983</v>
      </c>
      <c r="I885" s="47">
        <f t="shared" si="67"/>
        <v>3.0939937887584756E-2</v>
      </c>
      <c r="L885" s="65">
        <v>360.38555980000001</v>
      </c>
      <c r="M885" s="47">
        <f t="shared" si="68"/>
        <v>6.1384488327662634E-3</v>
      </c>
      <c r="P885" s="65">
        <v>990.26491113999998</v>
      </c>
      <c r="Q885" s="47">
        <f t="shared" si="69"/>
        <v>9.5564029643231407E-3</v>
      </c>
    </row>
    <row r="886" spans="1:17" ht="14.4" x14ac:dyDescent="0.3">
      <c r="A886" s="63">
        <v>45502</v>
      </c>
      <c r="B886" s="64">
        <v>23394.19921875</v>
      </c>
      <c r="C886" s="47">
        <f t="shared" si="65"/>
        <v>4.3855493214977059E-3</v>
      </c>
      <c r="D886" s="65">
        <v>854.64198706000002</v>
      </c>
      <c r="E886" s="47">
        <f t="shared" si="66"/>
        <v>-6.7041305263041417E-3</v>
      </c>
      <c r="H886" s="65">
        <v>1334.64116489</v>
      </c>
      <c r="I886" s="47">
        <f t="shared" si="67"/>
        <v>-3.893766300818946E-3</v>
      </c>
      <c r="L886" s="65">
        <v>369.48014799999999</v>
      </c>
      <c r="M886" s="47">
        <f t="shared" si="68"/>
        <v>2.5235717560512461E-2</v>
      </c>
      <c r="P886" s="65">
        <v>1005.46028742</v>
      </c>
      <c r="Q886" s="47">
        <f t="shared" si="69"/>
        <v>1.5344758871145947E-2</v>
      </c>
    </row>
    <row r="887" spans="1:17" ht="14.4" x14ac:dyDescent="0.3">
      <c r="A887" s="63">
        <v>45503</v>
      </c>
      <c r="B887" s="64">
        <v>23440.900390629999</v>
      </c>
      <c r="C887" s="47">
        <f t="shared" si="65"/>
        <v>1.99627144504122E-3</v>
      </c>
      <c r="D887" s="65">
        <v>865.29870708999999</v>
      </c>
      <c r="E887" s="47">
        <f t="shared" si="66"/>
        <v>1.2469221254457041E-2</v>
      </c>
      <c r="H887" s="65">
        <v>1305.20887457</v>
      </c>
      <c r="I887" s="47">
        <f t="shared" si="67"/>
        <v>-2.2052586938172136E-2</v>
      </c>
      <c r="L887" s="65">
        <v>402.51048304</v>
      </c>
      <c r="M887" s="47">
        <f t="shared" si="68"/>
        <v>8.9396778741140936E-2</v>
      </c>
      <c r="P887" s="65">
        <v>994.21176212</v>
      </c>
      <c r="Q887" s="47">
        <f t="shared" si="69"/>
        <v>-1.1187438669371552E-2</v>
      </c>
    </row>
    <row r="888" spans="1:17" ht="14.4" x14ac:dyDescent="0.3">
      <c r="A888" s="63">
        <v>45504</v>
      </c>
      <c r="B888" s="64">
        <v>23530.80078125</v>
      </c>
      <c r="C888" s="47">
        <f t="shared" si="65"/>
        <v>3.8351935771177015E-3</v>
      </c>
      <c r="D888" s="65">
        <v>904.69933940999999</v>
      </c>
      <c r="E888" s="47">
        <f t="shared" si="66"/>
        <v>4.5534139826123532E-2</v>
      </c>
      <c r="H888" s="65">
        <v>1349.5049636900001</v>
      </c>
      <c r="I888" s="47">
        <f t="shared" si="67"/>
        <v>3.3937931302063351E-2</v>
      </c>
      <c r="L888" s="65">
        <v>411.80494231</v>
      </c>
      <c r="M888" s="47">
        <f t="shared" si="68"/>
        <v>2.3091222866551631E-2</v>
      </c>
      <c r="P888" s="65">
        <v>985.43002854999997</v>
      </c>
      <c r="Q888" s="47">
        <f t="shared" si="69"/>
        <v>-8.8328602663826361E-3</v>
      </c>
    </row>
    <row r="889" spans="1:17" ht="14.4" x14ac:dyDescent="0.3">
      <c r="A889" s="63">
        <v>45505</v>
      </c>
      <c r="B889" s="64">
        <v>23506.599609379999</v>
      </c>
      <c r="C889" s="47">
        <f t="shared" si="65"/>
        <v>-1.0284890894697307E-3</v>
      </c>
      <c r="D889" s="65">
        <v>886.61219601000005</v>
      </c>
      <c r="E889" s="47">
        <f t="shared" si="66"/>
        <v>-1.9992435732069214E-2</v>
      </c>
      <c r="H889" s="65">
        <v>1341.8761927800001</v>
      </c>
      <c r="I889" s="47">
        <f t="shared" si="67"/>
        <v>-5.6530143387841791E-3</v>
      </c>
      <c r="L889" s="65">
        <v>412.65443680999999</v>
      </c>
      <c r="M889" s="47">
        <f t="shared" si="68"/>
        <v>2.0628564952007711E-3</v>
      </c>
      <c r="P889" s="65">
        <v>987.05809471999999</v>
      </c>
      <c r="Q889" s="47">
        <f t="shared" si="69"/>
        <v>1.6521377701423923E-3</v>
      </c>
    </row>
    <row r="890" spans="1:17" ht="14.4" x14ac:dyDescent="0.3">
      <c r="A890" s="63">
        <v>45506</v>
      </c>
      <c r="B890" s="64">
        <v>23259.44921875</v>
      </c>
      <c r="C890" s="47">
        <f t="shared" si="65"/>
        <v>-1.0514085181906774E-2</v>
      </c>
      <c r="D890" s="65">
        <v>862.61007766</v>
      </c>
      <c r="E890" s="47">
        <f t="shared" si="66"/>
        <v>-2.7071721388467473E-2</v>
      </c>
      <c r="H890" s="65">
        <v>1329.81781297</v>
      </c>
      <c r="I890" s="47">
        <f t="shared" si="67"/>
        <v>-8.9862089176934168E-3</v>
      </c>
      <c r="L890" s="65">
        <v>401.26122642000001</v>
      </c>
      <c r="M890" s="47">
        <f t="shared" si="68"/>
        <v>-2.7609567167324101E-2</v>
      </c>
      <c r="P890" s="65">
        <v>982.66724274000001</v>
      </c>
      <c r="Q890" s="47">
        <f t="shared" si="69"/>
        <v>-4.4484230497552346E-3</v>
      </c>
    </row>
    <row r="891" spans="1:17" ht="14.4" x14ac:dyDescent="0.3">
      <c r="A891" s="63">
        <v>45509</v>
      </c>
      <c r="B891" s="64">
        <v>22542.44921875</v>
      </c>
      <c r="C891" s="47">
        <f t="shared" si="65"/>
        <v>-3.0826181362111016E-2</v>
      </c>
      <c r="D891" s="65">
        <v>809.17970772000001</v>
      </c>
      <c r="E891" s="47">
        <f t="shared" si="66"/>
        <v>-6.1940349786940185E-2</v>
      </c>
      <c r="H891" s="65">
        <v>1235.7624504299999</v>
      </c>
      <c r="I891" s="47">
        <f t="shared" si="67"/>
        <v>-7.0728006214578976E-2</v>
      </c>
      <c r="L891" s="65">
        <v>383.77163374000003</v>
      </c>
      <c r="M891" s="47">
        <f t="shared" si="68"/>
        <v>-4.358655042761006E-2</v>
      </c>
      <c r="P891" s="65">
        <v>949.9576955</v>
      </c>
      <c r="Q891" s="47">
        <f t="shared" si="69"/>
        <v>-3.32864939598424E-2</v>
      </c>
    </row>
    <row r="892" spans="1:17" ht="14.4" x14ac:dyDescent="0.3">
      <c r="A892" s="63">
        <v>45510</v>
      </c>
      <c r="B892" s="64">
        <v>22443.30078125</v>
      </c>
      <c r="C892" s="47">
        <f t="shared" si="65"/>
        <v>-4.3982992503552865E-3</v>
      </c>
      <c r="D892" s="65">
        <v>811.37949543000002</v>
      </c>
      <c r="E892" s="47">
        <f t="shared" si="66"/>
        <v>2.7185403798597463E-3</v>
      </c>
      <c r="H892" s="65">
        <v>1185.90474124</v>
      </c>
      <c r="I892" s="47">
        <f t="shared" si="67"/>
        <v>-4.034570654954861E-2</v>
      </c>
      <c r="L892" s="65">
        <v>371.57887913000002</v>
      </c>
      <c r="M892" s="47">
        <f t="shared" si="68"/>
        <v>-3.177085938107771E-2</v>
      </c>
      <c r="P892" s="65">
        <v>953.46051586999999</v>
      </c>
      <c r="Q892" s="47">
        <f t="shared" si="69"/>
        <v>3.6873435381312714E-3</v>
      </c>
    </row>
    <row r="893" spans="1:17" ht="14.4" x14ac:dyDescent="0.3">
      <c r="A893" s="63">
        <v>45511</v>
      </c>
      <c r="B893" s="64">
        <v>22848.900390629999</v>
      </c>
      <c r="C893" s="47">
        <f t="shared" si="65"/>
        <v>1.8072190598579452E-2</v>
      </c>
      <c r="D893" s="65">
        <v>830.93316396</v>
      </c>
      <c r="E893" s="47">
        <f t="shared" si="66"/>
        <v>2.4099288483544035E-2</v>
      </c>
      <c r="H893" s="65">
        <v>1214.45110978</v>
      </c>
      <c r="I893" s="47">
        <f t="shared" si="67"/>
        <v>2.4071384106409299E-2</v>
      </c>
      <c r="L893" s="65">
        <v>393.46587511000001</v>
      </c>
      <c r="M893" s="47">
        <f t="shared" si="68"/>
        <v>5.8902691216587311E-2</v>
      </c>
      <c r="P893" s="65">
        <v>947.44158786000003</v>
      </c>
      <c r="Q893" s="47">
        <f t="shared" si="69"/>
        <v>-6.312718680865248E-3</v>
      </c>
    </row>
    <row r="894" spans="1:17" ht="14.4" x14ac:dyDescent="0.3">
      <c r="A894" s="63">
        <v>45512</v>
      </c>
      <c r="B894" s="64">
        <v>22705.69921875</v>
      </c>
      <c r="C894" s="47">
        <f t="shared" si="65"/>
        <v>-6.2673113117830415E-3</v>
      </c>
      <c r="D894" s="65">
        <v>834.01283742999999</v>
      </c>
      <c r="E894" s="47">
        <f t="shared" si="66"/>
        <v>3.7062830123701929E-3</v>
      </c>
      <c r="H894" s="65">
        <v>1225.2790426700001</v>
      </c>
      <c r="I894" s="47">
        <f t="shared" si="67"/>
        <v>8.9159067852155882E-3</v>
      </c>
      <c r="L894" s="65">
        <v>401.81088934000002</v>
      </c>
      <c r="M894" s="47">
        <f t="shared" si="68"/>
        <v>2.1208991066041127E-2</v>
      </c>
      <c r="P894" s="65">
        <v>951.58579125999995</v>
      </c>
      <c r="Q894" s="47">
        <f t="shared" si="69"/>
        <v>4.3740991034186827E-3</v>
      </c>
    </row>
    <row r="895" spans="1:17" ht="14.4" x14ac:dyDescent="0.3">
      <c r="A895" s="63">
        <v>45513</v>
      </c>
      <c r="B895" s="64">
        <v>22923.5</v>
      </c>
      <c r="C895" s="47">
        <f t="shared" si="65"/>
        <v>9.5923397536308297E-3</v>
      </c>
      <c r="D895" s="65">
        <v>818.68914433999998</v>
      </c>
      <c r="E895" s="47">
        <f t="shared" si="66"/>
        <v>-1.8373449906622263E-2</v>
      </c>
      <c r="H895" s="65">
        <v>1221.5384840300001</v>
      </c>
      <c r="I895" s="47">
        <f t="shared" si="67"/>
        <v>-3.052821855051846E-3</v>
      </c>
      <c r="L895" s="65">
        <v>424.14759771000001</v>
      </c>
      <c r="M895" s="47">
        <f t="shared" si="68"/>
        <v>5.5590102116668483E-2</v>
      </c>
      <c r="P895" s="65">
        <v>965.39976968999997</v>
      </c>
      <c r="Q895" s="47">
        <f t="shared" si="69"/>
        <v>1.4516797704291928E-2</v>
      </c>
    </row>
    <row r="896" spans="1:17" ht="14.4" x14ac:dyDescent="0.3">
      <c r="A896" s="63">
        <v>45516</v>
      </c>
      <c r="B896" s="64">
        <v>22915.849609379999</v>
      </c>
      <c r="C896" s="47">
        <f t="shared" si="65"/>
        <v>-3.3373571313288775E-4</v>
      </c>
      <c r="D896" s="65">
        <v>812.99187540000003</v>
      </c>
      <c r="E896" s="47">
        <f t="shared" si="66"/>
        <v>-6.9590136615197418E-3</v>
      </c>
      <c r="H896" s="65">
        <v>1218.7330650599999</v>
      </c>
      <c r="I896" s="47">
        <f t="shared" si="67"/>
        <v>-2.2966275779905398E-3</v>
      </c>
      <c r="L896" s="65">
        <v>418.55092804999998</v>
      </c>
      <c r="M896" s="47">
        <f t="shared" si="68"/>
        <v>-1.319509927727236E-2</v>
      </c>
      <c r="P896" s="65">
        <v>974.82286653999995</v>
      </c>
      <c r="Q896" s="47">
        <f t="shared" si="69"/>
        <v>9.7608235943809074E-3</v>
      </c>
    </row>
    <row r="897" spans="1:17" ht="14.4" x14ac:dyDescent="0.3">
      <c r="A897" s="63">
        <v>45517</v>
      </c>
      <c r="B897" s="64">
        <v>22705.80078125</v>
      </c>
      <c r="C897" s="47">
        <f t="shared" si="65"/>
        <v>-9.1660938481643583E-3</v>
      </c>
      <c r="D897" s="65">
        <v>813.82680177999998</v>
      </c>
      <c r="E897" s="47">
        <f t="shared" si="66"/>
        <v>1.0269799800757262E-3</v>
      </c>
      <c r="H897" s="65">
        <v>1233.1046850800001</v>
      </c>
      <c r="I897" s="47">
        <f t="shared" si="67"/>
        <v>1.1792262335388992E-2</v>
      </c>
      <c r="L897" s="65">
        <v>401.41112722000003</v>
      </c>
      <c r="M897" s="47">
        <f t="shared" si="68"/>
        <v>-4.0950335267091909E-2</v>
      </c>
      <c r="P897" s="65">
        <v>965.74509941999997</v>
      </c>
      <c r="Q897" s="47">
        <f t="shared" si="69"/>
        <v>-9.3122221806514194E-3</v>
      </c>
    </row>
    <row r="898" spans="1:17" ht="14.4" x14ac:dyDescent="0.3">
      <c r="A898" s="63">
        <v>45518</v>
      </c>
      <c r="B898" s="64">
        <v>22672.650390629999</v>
      </c>
      <c r="C898" s="47">
        <f t="shared" si="65"/>
        <v>-1.4599965418253813E-3</v>
      </c>
      <c r="D898" s="65">
        <v>798.11017073000005</v>
      </c>
      <c r="E898" s="47">
        <f t="shared" si="66"/>
        <v>-1.9312009650732209E-2</v>
      </c>
      <c r="H898" s="65">
        <v>1211.20272991</v>
      </c>
      <c r="I898" s="47">
        <f t="shared" si="67"/>
        <v>-1.7761634867666687E-2</v>
      </c>
      <c r="L898" s="65">
        <v>406.00840158</v>
      </c>
      <c r="M898" s="47">
        <f t="shared" si="68"/>
        <v>1.1452782566937492E-2</v>
      </c>
      <c r="P898" s="65">
        <v>944.77745358000004</v>
      </c>
      <c r="Q898" s="47">
        <f t="shared" si="69"/>
        <v>-2.1711366542364607E-2</v>
      </c>
    </row>
    <row r="899" spans="1:17" ht="14.4" x14ac:dyDescent="0.3">
      <c r="A899" s="63">
        <v>45520</v>
      </c>
      <c r="B899" s="64">
        <v>23056.5</v>
      </c>
      <c r="C899" s="47">
        <f t="shared" si="65"/>
        <v>1.6930072256952977E-2</v>
      </c>
      <c r="D899" s="65">
        <v>802.62868250999998</v>
      </c>
      <c r="E899" s="47">
        <f t="shared" si="66"/>
        <v>5.6615138432167811E-3</v>
      </c>
      <c r="H899" s="65">
        <v>1202.0482048199999</v>
      </c>
      <c r="I899" s="47">
        <f t="shared" si="67"/>
        <v>-7.5582104167486452E-3</v>
      </c>
      <c r="L899" s="65">
        <v>415.55271217000001</v>
      </c>
      <c r="M899" s="47">
        <f t="shared" si="68"/>
        <v>2.3507667705539914E-2</v>
      </c>
      <c r="P899" s="65">
        <v>972.45473621999997</v>
      </c>
      <c r="Q899" s="47">
        <f t="shared" si="69"/>
        <v>2.9295028723562044E-2</v>
      </c>
    </row>
    <row r="900" spans="1:17" ht="14.4" x14ac:dyDescent="0.3">
      <c r="A900" s="63">
        <v>45523</v>
      </c>
      <c r="B900" s="64">
        <v>23139.75</v>
      </c>
      <c r="C900" s="47">
        <f t="shared" ref="C900:C963" si="70">B900/B899-1</f>
        <v>3.6106954654868684E-3</v>
      </c>
      <c r="D900" s="65">
        <v>810.73257039999999</v>
      </c>
      <c r="E900" s="47">
        <f t="shared" ref="E900:E963" si="71">D900/D899-1</f>
        <v>1.0096683642873749E-2</v>
      </c>
      <c r="H900" s="65">
        <v>1212.6300483299999</v>
      </c>
      <c r="I900" s="47">
        <f t="shared" ref="I900:I963" si="72">H900/H899-1</f>
        <v>8.8031773331291863E-3</v>
      </c>
      <c r="L900" s="65">
        <v>431.99293927999997</v>
      </c>
      <c r="M900" s="47">
        <f t="shared" ref="M900:M963" si="73">L900/L899-1</f>
        <v>3.9562314547653354E-2</v>
      </c>
      <c r="P900" s="65">
        <v>939.05452952999997</v>
      </c>
      <c r="Q900" s="47">
        <f t="shared" ref="Q900:Q963" si="74">P900/P899-1</f>
        <v>-3.4346284146683281E-2</v>
      </c>
    </row>
    <row r="901" spans="1:17" ht="14.4" x14ac:dyDescent="0.3">
      <c r="A901" s="63">
        <v>45524</v>
      </c>
      <c r="B901" s="64">
        <v>23280.349609379999</v>
      </c>
      <c r="C901" s="47">
        <f t="shared" si="70"/>
        <v>6.0761075370303619E-3</v>
      </c>
      <c r="D901" s="65">
        <v>828.41378033000001</v>
      </c>
      <c r="E901" s="47">
        <f t="shared" si="71"/>
        <v>2.1808930065898791E-2</v>
      </c>
      <c r="H901" s="65">
        <v>1198.5537355700001</v>
      </c>
      <c r="I901" s="47">
        <f t="shared" si="72"/>
        <v>-1.160808507045108E-2</v>
      </c>
      <c r="L901" s="65">
        <v>424.49739956000002</v>
      </c>
      <c r="M901" s="47">
        <f t="shared" si="73"/>
        <v>-1.7351069979274936E-2</v>
      </c>
      <c r="P901" s="65">
        <v>948.37897483999996</v>
      </c>
      <c r="Q901" s="47">
        <f t="shared" si="74"/>
        <v>9.9296100671244503E-3</v>
      </c>
    </row>
    <row r="902" spans="1:17" ht="14.4" x14ac:dyDescent="0.3">
      <c r="A902" s="63">
        <v>45525</v>
      </c>
      <c r="B902" s="64">
        <v>23368.650390629999</v>
      </c>
      <c r="C902" s="47">
        <f t="shared" si="70"/>
        <v>3.7929319246314819E-3</v>
      </c>
      <c r="D902" s="65">
        <v>831.21333471000003</v>
      </c>
      <c r="E902" s="47">
        <f t="shared" si="71"/>
        <v>3.3794155124806657E-3</v>
      </c>
      <c r="H902" s="65">
        <v>1220.2096013600001</v>
      </c>
      <c r="I902" s="47">
        <f t="shared" si="72"/>
        <v>1.8068331145537631E-2</v>
      </c>
      <c r="L902" s="65">
        <v>451.78115415000002</v>
      </c>
      <c r="M902" s="47">
        <f t="shared" si="73"/>
        <v>6.4273078276286588E-2</v>
      </c>
      <c r="P902" s="65">
        <v>964.06767789000003</v>
      </c>
      <c r="Q902" s="47">
        <f t="shared" si="74"/>
        <v>1.6542651689053889E-2</v>
      </c>
    </row>
    <row r="903" spans="1:17" ht="14.4" x14ac:dyDescent="0.3">
      <c r="A903" s="63">
        <v>45526</v>
      </c>
      <c r="B903" s="64">
        <v>23440.69921875</v>
      </c>
      <c r="C903" s="47">
        <f t="shared" si="70"/>
        <v>3.0831403147222325E-3</v>
      </c>
      <c r="D903" s="65">
        <v>814.66172816000005</v>
      </c>
      <c r="E903" s="47">
        <f t="shared" si="71"/>
        <v>-1.9912585444475162E-2</v>
      </c>
      <c r="H903" s="65">
        <v>1232.36641693</v>
      </c>
      <c r="I903" s="47">
        <f t="shared" si="72"/>
        <v>9.9628912577400808E-3</v>
      </c>
      <c r="L903" s="65">
        <v>446.13451422999998</v>
      </c>
      <c r="M903" s="47">
        <f t="shared" si="73"/>
        <v>-1.249861767834004E-2</v>
      </c>
      <c r="P903" s="65">
        <v>959.33146657999998</v>
      </c>
      <c r="Q903" s="47">
        <f t="shared" si="74"/>
        <v>-4.9127373716810752E-3</v>
      </c>
    </row>
    <row r="904" spans="1:17" ht="14.4" x14ac:dyDescent="0.3">
      <c r="A904" s="63">
        <v>45527</v>
      </c>
      <c r="B904" s="64">
        <v>23418.650390629999</v>
      </c>
      <c r="C904" s="47">
        <f t="shared" si="70"/>
        <v>-9.4062160493768587E-4</v>
      </c>
      <c r="D904" s="65">
        <v>825.02492104999999</v>
      </c>
      <c r="E904" s="47">
        <f t="shared" si="71"/>
        <v>1.2720853983660518E-2</v>
      </c>
      <c r="H904" s="65">
        <v>1277.9421708299999</v>
      </c>
      <c r="I904" s="47">
        <f t="shared" si="72"/>
        <v>3.6982307594469743E-2</v>
      </c>
      <c r="L904" s="65">
        <v>457.47777434</v>
      </c>
      <c r="M904" s="47">
        <f t="shared" si="73"/>
        <v>2.5425650220265439E-2</v>
      </c>
      <c r="P904" s="65">
        <v>966.43580821</v>
      </c>
      <c r="Q904" s="47">
        <f t="shared" si="74"/>
        <v>7.4055129822092614E-3</v>
      </c>
    </row>
    <row r="905" spans="1:17" ht="14.4" x14ac:dyDescent="0.3">
      <c r="A905" s="63">
        <v>45530</v>
      </c>
      <c r="B905" s="64">
        <v>23561.75</v>
      </c>
      <c r="C905" s="47">
        <f t="shared" si="70"/>
        <v>6.1104977008947792E-3</v>
      </c>
      <c r="D905" s="65">
        <v>838.92428716999996</v>
      </c>
      <c r="E905" s="47">
        <f t="shared" si="71"/>
        <v>1.6847207599875125E-2</v>
      </c>
      <c r="H905" s="65">
        <v>1286.65373503</v>
      </c>
      <c r="I905" s="47">
        <f t="shared" si="72"/>
        <v>6.8168688684420164E-3</v>
      </c>
      <c r="L905" s="65">
        <v>432.64254273</v>
      </c>
      <c r="M905" s="47">
        <f t="shared" si="73"/>
        <v>-5.4287296570482813E-2</v>
      </c>
      <c r="P905" s="65">
        <v>961.60089602000005</v>
      </c>
      <c r="Q905" s="47">
        <f t="shared" si="74"/>
        <v>-5.0028280708628303E-3</v>
      </c>
    </row>
    <row r="906" spans="1:17" ht="14.4" x14ac:dyDescent="0.3">
      <c r="A906" s="63">
        <v>45531</v>
      </c>
      <c r="B906" s="64">
        <v>23604.849609379999</v>
      </c>
      <c r="C906" s="47">
        <f t="shared" si="70"/>
        <v>1.8292193652846844E-3</v>
      </c>
      <c r="D906" s="65">
        <v>848.79628622999996</v>
      </c>
      <c r="E906" s="47">
        <f t="shared" si="71"/>
        <v>1.176744935267271E-2</v>
      </c>
      <c r="H906" s="65">
        <v>1312.0501594499999</v>
      </c>
      <c r="I906" s="47">
        <f t="shared" si="72"/>
        <v>1.9738352074505805E-2</v>
      </c>
      <c r="L906" s="65">
        <v>434.59140305</v>
      </c>
      <c r="M906" s="47">
        <f t="shared" si="73"/>
        <v>4.5045508185639349E-3</v>
      </c>
      <c r="P906" s="65">
        <v>948.57627792000005</v>
      </c>
      <c r="Q906" s="47">
        <f t="shared" si="74"/>
        <v>-1.3544723339909526E-2</v>
      </c>
    </row>
    <row r="907" spans="1:17" ht="14.4" x14ac:dyDescent="0.3">
      <c r="A907" s="63">
        <v>45532</v>
      </c>
      <c r="B907" s="64">
        <v>23615.94921875</v>
      </c>
      <c r="C907" s="47">
        <f t="shared" si="70"/>
        <v>4.7022580332778396E-4</v>
      </c>
      <c r="D907" s="65">
        <v>852.67633935000003</v>
      </c>
      <c r="E907" s="47">
        <f t="shared" si="71"/>
        <v>4.5712418668013566E-3</v>
      </c>
      <c r="H907" s="65">
        <v>1316.6766398699999</v>
      </c>
      <c r="I907" s="47">
        <f t="shared" si="72"/>
        <v>3.5261459988231714E-3</v>
      </c>
      <c r="L907" s="65">
        <v>421.44922339999999</v>
      </c>
      <c r="M907" s="47">
        <f t="shared" si="73"/>
        <v>-3.0240312067305153E-2</v>
      </c>
      <c r="P907" s="65">
        <v>947.14558391000003</v>
      </c>
      <c r="Q907" s="47">
        <f t="shared" si="74"/>
        <v>-1.5082540469356642E-3</v>
      </c>
    </row>
    <row r="908" spans="1:17" ht="14.4" x14ac:dyDescent="0.3">
      <c r="A908" s="63">
        <v>45533</v>
      </c>
      <c r="B908" s="64">
        <v>23631.400390629999</v>
      </c>
      <c r="C908" s="47">
        <f t="shared" si="70"/>
        <v>6.542685088317679E-4</v>
      </c>
      <c r="D908" s="65">
        <v>884.79721388999997</v>
      </c>
      <c r="E908" s="47">
        <f t="shared" si="71"/>
        <v>3.7670653045780433E-2</v>
      </c>
      <c r="H908" s="65">
        <v>1308.8017795799999</v>
      </c>
      <c r="I908" s="47">
        <f t="shared" si="72"/>
        <v>-5.9808612468263966E-3</v>
      </c>
      <c r="L908" s="65">
        <v>421.54914394000002</v>
      </c>
      <c r="M908" s="47">
        <f t="shared" si="73"/>
        <v>2.3708796802113241E-4</v>
      </c>
      <c r="P908" s="65">
        <v>950.40172610000002</v>
      </c>
      <c r="Q908" s="47">
        <f t="shared" si="74"/>
        <v>3.4378476184813156E-3</v>
      </c>
    </row>
    <row r="909" spans="1:17" ht="14.4" x14ac:dyDescent="0.3">
      <c r="A909" s="63">
        <v>45534</v>
      </c>
      <c r="B909" s="64">
        <v>23734.55078125</v>
      </c>
      <c r="C909" s="47">
        <f t="shared" si="70"/>
        <v>4.364971559658537E-3</v>
      </c>
      <c r="D909" s="65">
        <v>930.57188219</v>
      </c>
      <c r="E909" s="47">
        <f t="shared" si="71"/>
        <v>5.1734643352630227E-2</v>
      </c>
      <c r="H909" s="65">
        <v>1326.4709973500001</v>
      </c>
      <c r="I909" s="47">
        <f t="shared" si="72"/>
        <v>1.3500300844387914E-2</v>
      </c>
      <c r="L909" s="65">
        <v>417.75141380999997</v>
      </c>
      <c r="M909" s="47">
        <f t="shared" si="73"/>
        <v>-9.0089855111663564E-3</v>
      </c>
      <c r="P909" s="65">
        <v>946.89890572000002</v>
      </c>
      <c r="Q909" s="47">
        <f t="shared" si="74"/>
        <v>-3.6856208104480981E-3</v>
      </c>
    </row>
    <row r="910" spans="1:17" ht="14.4" x14ac:dyDescent="0.3">
      <c r="A910" s="63">
        <v>45537</v>
      </c>
      <c r="B910" s="64">
        <v>23760.69921875</v>
      </c>
      <c r="C910" s="47">
        <f t="shared" si="70"/>
        <v>1.1017034929794445E-3</v>
      </c>
      <c r="D910" s="65">
        <v>909.60002226999995</v>
      </c>
      <c r="E910" s="47">
        <f t="shared" si="71"/>
        <v>-2.2536528688837043E-2</v>
      </c>
      <c r="H910" s="65">
        <v>1363.43362282</v>
      </c>
      <c r="I910" s="47">
        <f t="shared" si="72"/>
        <v>2.786538532982874E-2</v>
      </c>
      <c r="L910" s="65">
        <v>411.85493256000001</v>
      </c>
      <c r="M910" s="47">
        <f t="shared" si="73"/>
        <v>-1.4114808604051232E-2</v>
      </c>
      <c r="P910" s="65">
        <v>950.10572214000001</v>
      </c>
      <c r="Q910" s="47">
        <f t="shared" si="74"/>
        <v>3.3866513105340612E-3</v>
      </c>
    </row>
    <row r="911" spans="1:17" ht="14.4" x14ac:dyDescent="0.3">
      <c r="A911" s="63">
        <v>45538</v>
      </c>
      <c r="B911" s="64">
        <v>23788.44921875</v>
      </c>
      <c r="C911" s="47">
        <f t="shared" si="70"/>
        <v>1.1678949236519909E-3</v>
      </c>
      <c r="D911" s="65">
        <v>911.66281045000005</v>
      </c>
      <c r="E911" s="47">
        <f t="shared" si="71"/>
        <v>2.2677969761393246E-3</v>
      </c>
      <c r="H911" s="65">
        <v>1373.27719817</v>
      </c>
      <c r="I911" s="47">
        <f t="shared" si="72"/>
        <v>7.2196953230774241E-3</v>
      </c>
      <c r="L911" s="65">
        <v>417.35166169000001</v>
      </c>
      <c r="M911" s="47">
        <f t="shared" si="73"/>
        <v>1.334627485419082E-2</v>
      </c>
      <c r="P911" s="65">
        <v>966.28778155999998</v>
      </c>
      <c r="Q911" s="47">
        <f t="shared" si="74"/>
        <v>1.7031851343397575E-2</v>
      </c>
    </row>
    <row r="912" spans="1:17" ht="14.4" x14ac:dyDescent="0.3">
      <c r="A912" s="63">
        <v>45539</v>
      </c>
      <c r="B912" s="64">
        <v>23748.900390629999</v>
      </c>
      <c r="C912" s="47">
        <f t="shared" si="70"/>
        <v>-1.6625223341094619E-3</v>
      </c>
      <c r="D912" s="65">
        <v>915.59198786000002</v>
      </c>
      <c r="E912" s="47">
        <f t="shared" si="71"/>
        <v>4.3099020437835645E-3</v>
      </c>
      <c r="H912" s="65">
        <v>1378.14976798</v>
      </c>
      <c r="I912" s="47">
        <f t="shared" si="72"/>
        <v>3.5481327560764608E-3</v>
      </c>
      <c r="L912" s="65">
        <v>411.65504149999998</v>
      </c>
      <c r="M912" s="47">
        <f t="shared" si="73"/>
        <v>-1.3649448924996421E-2</v>
      </c>
      <c r="P912" s="65">
        <v>960.21950804999994</v>
      </c>
      <c r="Q912" s="47">
        <f t="shared" si="74"/>
        <v>-6.2799857618019983E-3</v>
      </c>
    </row>
    <row r="913" spans="1:17" ht="14.4" x14ac:dyDescent="0.3">
      <c r="A913" s="63">
        <v>45540</v>
      </c>
      <c r="B913" s="64">
        <v>23762.80078125</v>
      </c>
      <c r="C913" s="47">
        <f t="shared" si="70"/>
        <v>5.8530670436796051E-4</v>
      </c>
      <c r="D913" s="65">
        <v>970.25639523999996</v>
      </c>
      <c r="E913" s="47">
        <f t="shared" si="71"/>
        <v>5.9703894425470416E-2</v>
      </c>
      <c r="H913" s="65">
        <v>1376.8208853000001</v>
      </c>
      <c r="I913" s="47">
        <f t="shared" si="72"/>
        <v>-9.6425128159161044E-4</v>
      </c>
      <c r="L913" s="65">
        <v>419.50037307999997</v>
      </c>
      <c r="M913" s="47">
        <f t="shared" si="73"/>
        <v>1.9058023804136903E-2</v>
      </c>
      <c r="P913" s="65">
        <v>963.62364728</v>
      </c>
      <c r="Q913" s="47">
        <f t="shared" si="74"/>
        <v>3.54516774702196E-3</v>
      </c>
    </row>
    <row r="914" spans="1:17" ht="14.4" x14ac:dyDescent="0.3">
      <c r="A914" s="63">
        <v>45541</v>
      </c>
      <c r="B914" s="64">
        <v>23477.69921875</v>
      </c>
      <c r="C914" s="47">
        <f t="shared" si="70"/>
        <v>-1.199780973314224E-2</v>
      </c>
      <c r="D914" s="65">
        <v>975.26605174999997</v>
      </c>
      <c r="E914" s="47">
        <f t="shared" si="71"/>
        <v>5.1632295696033559E-3</v>
      </c>
      <c r="H914" s="65">
        <v>1376.03339927</v>
      </c>
      <c r="I914" s="47">
        <f t="shared" si="72"/>
        <v>-5.7195967784040569E-4</v>
      </c>
      <c r="L914" s="65">
        <v>413.65384210000002</v>
      </c>
      <c r="M914" s="47">
        <f t="shared" si="73"/>
        <v>-1.3936891014123098E-2</v>
      </c>
      <c r="P914" s="65">
        <v>990.56092495999997</v>
      </c>
      <c r="Q914" s="47">
        <f t="shared" si="74"/>
        <v>2.7954147613578506E-2</v>
      </c>
    </row>
    <row r="915" spans="1:17" ht="14.4" x14ac:dyDescent="0.3">
      <c r="A915" s="63">
        <v>45544</v>
      </c>
      <c r="B915" s="64">
        <v>23502.150390629999</v>
      </c>
      <c r="C915" s="47">
        <f t="shared" si="70"/>
        <v>1.0414637163624896E-3</v>
      </c>
      <c r="D915" s="65">
        <v>959.69678375000001</v>
      </c>
      <c r="E915" s="47">
        <f t="shared" si="71"/>
        <v>-1.5964123812228226E-2</v>
      </c>
      <c r="H915" s="65">
        <v>1345.71518717</v>
      </c>
      <c r="I915" s="47">
        <f t="shared" si="72"/>
        <v>-2.2033049572840357E-2</v>
      </c>
      <c r="L915" s="65">
        <v>409.85611196999997</v>
      </c>
      <c r="M915" s="47">
        <f t="shared" si="73"/>
        <v>-9.1809376427403055E-3</v>
      </c>
      <c r="P915" s="65">
        <v>971.22135516000003</v>
      </c>
      <c r="Q915" s="47">
        <f t="shared" si="74"/>
        <v>-1.9523856950829033E-2</v>
      </c>
    </row>
    <row r="916" spans="1:17" ht="14.4" x14ac:dyDescent="0.3">
      <c r="A916" s="63">
        <v>45545</v>
      </c>
      <c r="B916" s="64">
        <v>23643.650390629999</v>
      </c>
      <c r="C916" s="47">
        <f t="shared" si="70"/>
        <v>6.020725663316906E-3</v>
      </c>
      <c r="D916" s="65">
        <v>963.38036915999999</v>
      </c>
      <c r="E916" s="47">
        <f t="shared" si="71"/>
        <v>3.8382804572987261E-3</v>
      </c>
      <c r="H916" s="65">
        <v>1364.4179803500001</v>
      </c>
      <c r="I916" s="47">
        <f t="shared" si="72"/>
        <v>1.3898032331292498E-2</v>
      </c>
      <c r="L916" s="65">
        <v>411.05539833</v>
      </c>
      <c r="M916" s="47">
        <f t="shared" si="73"/>
        <v>2.9261155927029492E-3</v>
      </c>
      <c r="P916" s="65">
        <v>975.76023378000002</v>
      </c>
      <c r="Q916" s="47">
        <f t="shared" si="74"/>
        <v>4.6733719310076971E-3</v>
      </c>
    </row>
    <row r="917" spans="1:17" ht="14.4" x14ac:dyDescent="0.3">
      <c r="A917" s="63">
        <v>45546</v>
      </c>
      <c r="B917" s="64">
        <v>23531.25</v>
      </c>
      <c r="C917" s="47">
        <f t="shared" si="70"/>
        <v>-4.7539355714100173E-3</v>
      </c>
      <c r="D917" s="65">
        <v>935.77803587000005</v>
      </c>
      <c r="E917" s="47">
        <f t="shared" si="71"/>
        <v>-2.8651542187918211E-2</v>
      </c>
      <c r="H917" s="65">
        <v>1334.5427291399999</v>
      </c>
      <c r="I917" s="47">
        <f t="shared" si="72"/>
        <v>-2.1895967101178693E-2</v>
      </c>
      <c r="L917" s="65">
        <v>407.85730138000002</v>
      </c>
      <c r="M917" s="47">
        <f t="shared" si="73"/>
        <v>-7.7802090983184469E-3</v>
      </c>
      <c r="P917" s="65">
        <v>979.21372839000003</v>
      </c>
      <c r="Q917" s="47">
        <f t="shared" si="74"/>
        <v>3.5392860770944168E-3</v>
      </c>
    </row>
    <row r="918" spans="1:17" ht="14.4" x14ac:dyDescent="0.3">
      <c r="A918" s="63">
        <v>45547</v>
      </c>
      <c r="B918" s="64">
        <v>23907.349609379999</v>
      </c>
      <c r="C918" s="47">
        <f t="shared" si="70"/>
        <v>1.5982984727967997E-2</v>
      </c>
      <c r="D918" s="65">
        <v>978.01648182999998</v>
      </c>
      <c r="E918" s="47">
        <f t="shared" si="71"/>
        <v>4.5137248728786883E-2</v>
      </c>
      <c r="H918" s="65">
        <v>1352.16272903</v>
      </c>
      <c r="I918" s="47">
        <f t="shared" si="72"/>
        <v>1.3203024155962861E-2</v>
      </c>
      <c r="L918" s="65">
        <v>406.95761698000001</v>
      </c>
      <c r="M918" s="47">
        <f t="shared" si="73"/>
        <v>-2.2058803335281985E-3</v>
      </c>
      <c r="P918" s="65">
        <v>969.6919504</v>
      </c>
      <c r="Q918" s="47">
        <f t="shared" si="74"/>
        <v>-9.7239016508229303E-3</v>
      </c>
    </row>
    <row r="919" spans="1:17" ht="14.4" x14ac:dyDescent="0.3">
      <c r="A919" s="63">
        <v>45548</v>
      </c>
      <c r="B919" s="64">
        <v>23928.19921875</v>
      </c>
      <c r="C919" s="47">
        <f t="shared" si="70"/>
        <v>8.7210040889762475E-4</v>
      </c>
      <c r="D919" s="65">
        <v>975.65898717000005</v>
      </c>
      <c r="E919" s="47">
        <f t="shared" si="71"/>
        <v>-2.4104856143004616E-3</v>
      </c>
      <c r="H919" s="65">
        <v>1359.20088541</v>
      </c>
      <c r="I919" s="47">
        <f t="shared" si="72"/>
        <v>5.2051104714658791E-3</v>
      </c>
      <c r="L919" s="65">
        <v>421.65247565999999</v>
      </c>
      <c r="M919" s="47">
        <f t="shared" si="73"/>
        <v>3.610906410610859E-2</v>
      </c>
      <c r="P919" s="65">
        <v>974.37883594000004</v>
      </c>
      <c r="Q919" s="47">
        <f t="shared" si="74"/>
        <v>4.8333757314027448E-3</v>
      </c>
    </row>
    <row r="920" spans="1:17" ht="14.4" x14ac:dyDescent="0.3">
      <c r="A920" s="63">
        <v>45551</v>
      </c>
      <c r="B920" s="64">
        <v>23968.19921875</v>
      </c>
      <c r="C920" s="47">
        <f t="shared" si="70"/>
        <v>1.6716677938997115E-3</v>
      </c>
      <c r="D920" s="65">
        <v>960.92464556000004</v>
      </c>
      <c r="E920" s="47">
        <f t="shared" si="71"/>
        <v>-1.5101938078527333E-2</v>
      </c>
      <c r="H920" s="65">
        <v>1372.53893002</v>
      </c>
      <c r="I920" s="47">
        <f t="shared" si="72"/>
        <v>9.8131517961574932E-3</v>
      </c>
      <c r="L920" s="65">
        <v>432.94852349000001</v>
      </c>
      <c r="M920" s="47">
        <f t="shared" si="73"/>
        <v>2.6789947841095119E-2</v>
      </c>
      <c r="P920" s="65">
        <v>977.63498800000002</v>
      </c>
      <c r="Q920" s="47">
        <f t="shared" si="74"/>
        <v>3.3417721525721422E-3</v>
      </c>
    </row>
    <row r="921" spans="1:17" ht="14.4" x14ac:dyDescent="0.3">
      <c r="A921" s="63">
        <v>45552</v>
      </c>
      <c r="B921" s="64">
        <v>23969.900390629999</v>
      </c>
      <c r="C921" s="47">
        <f t="shared" si="70"/>
        <v>7.0976207452000395E-5</v>
      </c>
      <c r="D921" s="65">
        <v>967.16218349999997</v>
      </c>
      <c r="E921" s="47">
        <f t="shared" si="71"/>
        <v>6.4911832252620982E-3</v>
      </c>
      <c r="H921" s="65">
        <v>1377.0669746900001</v>
      </c>
      <c r="I921" s="47">
        <f t="shared" si="72"/>
        <v>3.2990282249656389E-3</v>
      </c>
      <c r="L921" s="65">
        <v>433.39836609999998</v>
      </c>
      <c r="M921" s="47">
        <f t="shared" si="73"/>
        <v>1.0390210050232884E-3</v>
      </c>
      <c r="P921" s="65">
        <v>970.38264932000004</v>
      </c>
      <c r="Q921" s="47">
        <f t="shared" si="74"/>
        <v>-7.4182478829204479E-3</v>
      </c>
    </row>
    <row r="922" spans="1:17" ht="14.4" x14ac:dyDescent="0.3">
      <c r="A922" s="63">
        <v>45553</v>
      </c>
      <c r="B922" s="64">
        <v>23898.650390629999</v>
      </c>
      <c r="C922" s="47">
        <f t="shared" si="70"/>
        <v>-2.972477934361839E-3</v>
      </c>
      <c r="D922" s="65">
        <v>998.98836139000002</v>
      </c>
      <c r="E922" s="47">
        <f t="shared" si="71"/>
        <v>3.2906764173539438E-2</v>
      </c>
      <c r="H922" s="65">
        <v>1356.73999157</v>
      </c>
      <c r="I922" s="47">
        <f t="shared" si="72"/>
        <v>-1.4761070807449927E-2</v>
      </c>
      <c r="L922" s="65">
        <v>425.50112911999997</v>
      </c>
      <c r="M922" s="47">
        <f t="shared" si="73"/>
        <v>-1.8221658404170893E-2</v>
      </c>
      <c r="P922" s="65">
        <v>966.58380524999995</v>
      </c>
      <c r="Q922" s="47">
        <f t="shared" si="74"/>
        <v>-3.9147897715010593E-3</v>
      </c>
    </row>
    <row r="923" spans="1:17" ht="14.4" x14ac:dyDescent="0.3">
      <c r="A923" s="63">
        <v>45554</v>
      </c>
      <c r="B923" s="64">
        <v>23853.94921875</v>
      </c>
      <c r="C923" s="47">
        <f t="shared" si="70"/>
        <v>-1.870447541988618E-3</v>
      </c>
      <c r="D923" s="65">
        <v>968.68473214000005</v>
      </c>
      <c r="E923" s="47">
        <f t="shared" si="71"/>
        <v>-3.0334316615896584E-2</v>
      </c>
      <c r="H923" s="65">
        <v>1352.80256143</v>
      </c>
      <c r="I923" s="47">
        <f t="shared" si="72"/>
        <v>-2.902125804844724E-3</v>
      </c>
      <c r="L923" s="65">
        <v>416.10441677</v>
      </c>
      <c r="M923" s="47">
        <f t="shared" si="73"/>
        <v>-2.2083871714826619E-2</v>
      </c>
      <c r="P923" s="65">
        <v>997.71459236999999</v>
      </c>
      <c r="Q923" s="47">
        <f t="shared" si="74"/>
        <v>3.2207023282319724E-2</v>
      </c>
    </row>
    <row r="924" spans="1:17" ht="14.4" x14ac:dyDescent="0.3">
      <c r="A924" s="63">
        <v>45555</v>
      </c>
      <c r="B924" s="64">
        <v>24193.80078125</v>
      </c>
      <c r="C924" s="47">
        <f t="shared" si="70"/>
        <v>1.4247182275078707E-2</v>
      </c>
      <c r="D924" s="65">
        <v>924.57993624000005</v>
      </c>
      <c r="E924" s="47">
        <f t="shared" si="71"/>
        <v>-4.5530598797159261E-2</v>
      </c>
      <c r="H924" s="65">
        <v>1314.16652815</v>
      </c>
      <c r="I924" s="47">
        <f t="shared" si="72"/>
        <v>-2.8559994179164772E-2</v>
      </c>
      <c r="L924" s="65">
        <v>417.35397957999999</v>
      </c>
      <c r="M924" s="47">
        <f t="shared" si="73"/>
        <v>3.0030029954972726E-3</v>
      </c>
      <c r="P924" s="65">
        <v>973.49079446999997</v>
      </c>
      <c r="Q924" s="47">
        <f t="shared" si="74"/>
        <v>-2.4279285965396302E-2</v>
      </c>
    </row>
    <row r="925" spans="1:17" ht="14.4" x14ac:dyDescent="0.3">
      <c r="A925" s="63">
        <v>45558</v>
      </c>
      <c r="B925" s="64">
        <v>24379.19921875</v>
      </c>
      <c r="C925" s="47">
        <f t="shared" si="70"/>
        <v>7.6630554734369305E-3</v>
      </c>
      <c r="D925" s="65">
        <v>928.36175059000004</v>
      </c>
      <c r="E925" s="47">
        <f t="shared" si="71"/>
        <v>4.090305447660425E-3</v>
      </c>
      <c r="H925" s="65">
        <v>1305.70105334</v>
      </c>
      <c r="I925" s="47">
        <f t="shared" si="72"/>
        <v>-6.4417063048448631E-3</v>
      </c>
      <c r="L925" s="65">
        <v>479.48224264999999</v>
      </c>
      <c r="M925" s="47">
        <f t="shared" si="73"/>
        <v>0.14886227545385378</v>
      </c>
      <c r="P925" s="65">
        <v>968.11321000999999</v>
      </c>
      <c r="Q925" s="47">
        <f t="shared" si="74"/>
        <v>-5.5240218916786654E-3</v>
      </c>
    </row>
    <row r="926" spans="1:17" ht="14.4" x14ac:dyDescent="0.3">
      <c r="A926" s="63">
        <v>45559</v>
      </c>
      <c r="B926" s="64">
        <v>24389.69921875</v>
      </c>
      <c r="C926" s="47">
        <f t="shared" si="70"/>
        <v>4.3069503250636743E-4</v>
      </c>
      <c r="D926" s="65">
        <v>965.34494803999996</v>
      </c>
      <c r="E926" s="47">
        <f t="shared" si="71"/>
        <v>3.9837054280291051E-2</v>
      </c>
      <c r="H926" s="65">
        <v>1285.8662489999999</v>
      </c>
      <c r="I926" s="47">
        <f t="shared" si="72"/>
        <v>-1.5190923136090384E-2</v>
      </c>
      <c r="L926" s="65">
        <v>472.68462095000001</v>
      </c>
      <c r="M926" s="47">
        <f t="shared" si="73"/>
        <v>-1.4177004058442133E-2</v>
      </c>
      <c r="P926" s="65">
        <v>966.78114779999999</v>
      </c>
      <c r="Q926" s="47">
        <f t="shared" si="74"/>
        <v>-1.3759364051919576E-3</v>
      </c>
    </row>
    <row r="927" spans="1:17" ht="14.4" x14ac:dyDescent="0.3">
      <c r="A927" s="63">
        <v>45560</v>
      </c>
      <c r="B927" s="64">
        <v>24371.25</v>
      </c>
      <c r="C927" s="47">
        <f t="shared" si="70"/>
        <v>-7.5643486147691785E-4</v>
      </c>
      <c r="D927" s="65">
        <v>1000.60913897</v>
      </c>
      <c r="E927" s="47">
        <f t="shared" si="71"/>
        <v>3.6530145003192072E-2</v>
      </c>
      <c r="H927" s="65">
        <v>1310.3275337600001</v>
      </c>
      <c r="I927" s="47">
        <f t="shared" si="72"/>
        <v>1.9023195281020255E-2</v>
      </c>
      <c r="L927" s="65">
        <v>478.93243501000001</v>
      </c>
      <c r="M927" s="47">
        <f t="shared" si="73"/>
        <v>1.3217722310159274E-2</v>
      </c>
      <c r="P927" s="65">
        <v>966.43579834000002</v>
      </c>
      <c r="Q927" s="47">
        <f t="shared" si="74"/>
        <v>-3.5721575745017997E-4</v>
      </c>
    </row>
    <row r="928" spans="1:17" ht="14.4" x14ac:dyDescent="0.3">
      <c r="A928" s="63">
        <v>45561</v>
      </c>
      <c r="B928" s="64">
        <v>24496.900390629999</v>
      </c>
      <c r="C928" s="47">
        <f t="shared" si="70"/>
        <v>5.1556810024104838E-3</v>
      </c>
      <c r="D928" s="65">
        <v>1004.34183884</v>
      </c>
      <c r="E928" s="47">
        <f t="shared" si="71"/>
        <v>3.7304275212219906E-3</v>
      </c>
      <c r="H928" s="65">
        <v>1300.38552265</v>
      </c>
      <c r="I928" s="47">
        <f t="shared" si="72"/>
        <v>-7.5874244063782736E-3</v>
      </c>
      <c r="L928" s="65">
        <v>485.53012667000002</v>
      </c>
      <c r="M928" s="47">
        <f t="shared" si="73"/>
        <v>1.3775829694771646E-2</v>
      </c>
      <c r="P928" s="65">
        <v>958.04874000999996</v>
      </c>
      <c r="Q928" s="47">
        <f t="shared" si="74"/>
        <v>-8.6783398797997124E-3</v>
      </c>
    </row>
    <row r="929" spans="1:17" ht="14.4" x14ac:dyDescent="0.3">
      <c r="A929" s="63">
        <v>45562</v>
      </c>
      <c r="B929" s="64">
        <v>24489.55078125</v>
      </c>
      <c r="C929" s="47">
        <f t="shared" si="70"/>
        <v>-3.0002201351198021E-4</v>
      </c>
      <c r="D929" s="65">
        <v>1006.9449058599999</v>
      </c>
      <c r="E929" s="47">
        <f t="shared" si="71"/>
        <v>2.5918137822540377E-3</v>
      </c>
      <c r="H929" s="65">
        <v>1385.5324494900001</v>
      </c>
      <c r="I929" s="47">
        <f t="shared" si="72"/>
        <v>6.5478218079883632E-2</v>
      </c>
      <c r="L929" s="65">
        <v>467.38647462</v>
      </c>
      <c r="M929" s="47">
        <f t="shared" si="73"/>
        <v>-3.7368746146481002E-2</v>
      </c>
      <c r="P929" s="65">
        <v>968.31055256000002</v>
      </c>
      <c r="Q929" s="47">
        <f t="shared" si="74"/>
        <v>1.0711159173272256E-2</v>
      </c>
    </row>
    <row r="930" spans="1:17" ht="14.4" x14ac:dyDescent="0.3">
      <c r="A930" s="63">
        <v>45565</v>
      </c>
      <c r="B930" s="64">
        <v>24245.19921875</v>
      </c>
      <c r="C930" s="47">
        <f t="shared" si="70"/>
        <v>-9.9777886774095048E-3</v>
      </c>
      <c r="D930" s="65">
        <v>1020.15669884</v>
      </c>
      <c r="E930" s="47">
        <f t="shared" si="71"/>
        <v>1.3120671154015495E-2</v>
      </c>
      <c r="H930" s="65">
        <v>1345.8628408</v>
      </c>
      <c r="I930" s="47">
        <f t="shared" si="72"/>
        <v>-2.8631309721112719E-2</v>
      </c>
      <c r="L930" s="65">
        <v>470.48539040000003</v>
      </c>
      <c r="M930" s="47">
        <f t="shared" si="73"/>
        <v>6.6303069264457282E-3</v>
      </c>
      <c r="P930" s="65">
        <v>959.33146657999998</v>
      </c>
      <c r="Q930" s="47">
        <f t="shared" si="74"/>
        <v>-9.2729403353720707E-3</v>
      </c>
    </row>
    <row r="931" spans="1:17" ht="14.4" x14ac:dyDescent="0.3">
      <c r="A931" s="63">
        <v>45566</v>
      </c>
      <c r="B931" s="64">
        <v>24271.30078125</v>
      </c>
      <c r="C931" s="47">
        <f t="shared" si="70"/>
        <v>1.0765662209866189E-3</v>
      </c>
      <c r="D931" s="65">
        <v>1032.1406300199999</v>
      </c>
      <c r="E931" s="47">
        <f t="shared" si="71"/>
        <v>1.1747147466292684E-2</v>
      </c>
      <c r="H931" s="65">
        <v>1328.0951872799999</v>
      </c>
      <c r="I931" s="47">
        <f t="shared" si="72"/>
        <v>-1.3201682208150323E-2</v>
      </c>
      <c r="L931" s="65">
        <v>463.88769874000002</v>
      </c>
      <c r="M931" s="47">
        <f t="shared" si="73"/>
        <v>-1.4023159474496616E-2</v>
      </c>
      <c r="P931" s="65">
        <v>956.51933525000004</v>
      </c>
      <c r="Q931" s="47">
        <f t="shared" si="74"/>
        <v>-2.9313448249801421E-3</v>
      </c>
    </row>
    <row r="932" spans="1:17" ht="14.4" x14ac:dyDescent="0.3">
      <c r="A932" s="63">
        <v>45568</v>
      </c>
      <c r="B932" s="64">
        <v>23755.44921875</v>
      </c>
      <c r="C932" s="47">
        <f t="shared" si="70"/>
        <v>-2.1253560620801304E-2</v>
      </c>
      <c r="D932" s="65">
        <v>1005.32412828</v>
      </c>
      <c r="E932" s="47">
        <f t="shared" si="71"/>
        <v>-2.5981441830732255E-2</v>
      </c>
      <c r="H932" s="65">
        <v>1293.24893051</v>
      </c>
      <c r="I932" s="47">
        <f t="shared" si="72"/>
        <v>-2.6237770533124705E-2</v>
      </c>
      <c r="L932" s="65">
        <v>476.63323944000001</v>
      </c>
      <c r="M932" s="47">
        <f t="shared" si="73"/>
        <v>2.7475487568692003E-2</v>
      </c>
      <c r="P932" s="65">
        <v>935.55168942</v>
      </c>
      <c r="Q932" s="47">
        <f t="shared" si="74"/>
        <v>-2.1920775730602249E-2</v>
      </c>
    </row>
    <row r="933" spans="1:17" ht="14.4" x14ac:dyDescent="0.3">
      <c r="A933" s="63">
        <v>45569</v>
      </c>
      <c r="B933" s="64">
        <v>23534.94921875</v>
      </c>
      <c r="C933" s="47">
        <f t="shared" si="70"/>
        <v>-9.2820808383602404E-3</v>
      </c>
      <c r="D933" s="65">
        <v>1013.96827536</v>
      </c>
      <c r="E933" s="47">
        <f t="shared" si="71"/>
        <v>8.5983682643619996E-3</v>
      </c>
      <c r="H933" s="65">
        <v>1326.8155224899999</v>
      </c>
      <c r="I933" s="47">
        <f t="shared" si="72"/>
        <v>2.5955244337037886E-2</v>
      </c>
      <c r="L933" s="65">
        <v>483.48084365</v>
      </c>
      <c r="M933" s="47">
        <f t="shared" si="73"/>
        <v>1.436661072577583E-2</v>
      </c>
      <c r="P933" s="65">
        <v>916.55746907000002</v>
      </c>
      <c r="Q933" s="47">
        <f t="shared" si="74"/>
        <v>-2.0302694725264803E-2</v>
      </c>
    </row>
    <row r="934" spans="1:17" ht="14.4" x14ac:dyDescent="0.3">
      <c r="A934" s="63">
        <v>45572</v>
      </c>
      <c r="B934" s="64">
        <v>23181.95</v>
      </c>
      <c r="C934" s="47">
        <f t="shared" si="70"/>
        <v>-1.4998936920109007E-2</v>
      </c>
      <c r="D934" s="65">
        <v>970.40373866000004</v>
      </c>
      <c r="E934" s="47">
        <f t="shared" si="71"/>
        <v>-4.2964398155881933E-2</v>
      </c>
      <c r="H934" s="65">
        <v>1285.27563448</v>
      </c>
      <c r="I934" s="47">
        <f t="shared" si="72"/>
        <v>-3.1307960530973511E-2</v>
      </c>
      <c r="L934" s="65">
        <v>442.79507846000001</v>
      </c>
      <c r="M934" s="47">
        <f t="shared" si="73"/>
        <v>-8.4151762627958648E-2</v>
      </c>
      <c r="P934" s="65">
        <v>901.16475023999999</v>
      </c>
      <c r="Q934" s="47">
        <f t="shared" si="74"/>
        <v>-1.6794057491690606E-2</v>
      </c>
    </row>
    <row r="935" spans="1:17" ht="14.4" x14ac:dyDescent="0.3">
      <c r="A935" s="63">
        <v>45573</v>
      </c>
      <c r="B935" s="64">
        <v>23512.55</v>
      </c>
      <c r="C935" s="47">
        <f t="shared" si="70"/>
        <v>1.4261095378085065E-2</v>
      </c>
      <c r="D935" s="65">
        <v>995.20654704000003</v>
      </c>
      <c r="E935" s="47">
        <f t="shared" si="71"/>
        <v>2.5559267129627417E-2</v>
      </c>
      <c r="H935" s="65">
        <v>1302.8464164899999</v>
      </c>
      <c r="I935" s="47">
        <f t="shared" si="72"/>
        <v>1.3670827905415628E-2</v>
      </c>
      <c r="L935" s="65">
        <v>500.87475800999999</v>
      </c>
      <c r="M935" s="47">
        <f t="shared" si="73"/>
        <v>0.13116604581965019</v>
      </c>
      <c r="P935" s="65">
        <v>910.68652823000002</v>
      </c>
      <c r="Q935" s="47">
        <f t="shared" si="74"/>
        <v>1.0566079052098054E-2</v>
      </c>
    </row>
    <row r="936" spans="1:17" ht="14.4" x14ac:dyDescent="0.3">
      <c r="A936" s="63">
        <v>45574</v>
      </c>
      <c r="B936" s="64">
        <v>23599.599999999999</v>
      </c>
      <c r="C936" s="47">
        <f t="shared" si="70"/>
        <v>3.7022781450757325E-3</v>
      </c>
      <c r="D936" s="65">
        <v>989.50926829000002</v>
      </c>
      <c r="E936" s="47">
        <f t="shared" si="71"/>
        <v>-5.7247199256729164E-3</v>
      </c>
      <c r="H936" s="65">
        <v>1303.0432880000001</v>
      </c>
      <c r="I936" s="47">
        <f t="shared" si="72"/>
        <v>1.5110876271240414E-4</v>
      </c>
      <c r="L936" s="65">
        <v>521.76744825000003</v>
      </c>
      <c r="M936" s="47">
        <f t="shared" si="73"/>
        <v>4.1712403961037481E-2</v>
      </c>
      <c r="P936" s="65">
        <v>890.36024568000005</v>
      </c>
      <c r="Q936" s="47">
        <f t="shared" si="74"/>
        <v>-2.2319735627917892E-2</v>
      </c>
    </row>
    <row r="937" spans="1:17" ht="14.4" x14ac:dyDescent="0.3">
      <c r="A937" s="63">
        <v>45575</v>
      </c>
      <c r="B937" s="64">
        <v>23598.15</v>
      </c>
      <c r="C937" s="47">
        <f t="shared" si="70"/>
        <v>-6.144171935107412E-5</v>
      </c>
      <c r="D937" s="65">
        <v>999.43039164000004</v>
      </c>
      <c r="E937" s="47">
        <f t="shared" si="71"/>
        <v>1.0026306643034388E-2</v>
      </c>
      <c r="H937" s="65">
        <v>1302.3542377199999</v>
      </c>
      <c r="I937" s="47">
        <f t="shared" si="72"/>
        <v>-5.2880075922712155E-4</v>
      </c>
      <c r="L937" s="65">
        <v>534.61295397000004</v>
      </c>
      <c r="M937" s="47">
        <f t="shared" si="73"/>
        <v>2.4619216402026689E-2</v>
      </c>
      <c r="P937" s="65">
        <v>897.16856361999999</v>
      </c>
      <c r="Q937" s="47">
        <f t="shared" si="74"/>
        <v>7.6467002800648665E-3</v>
      </c>
    </row>
    <row r="938" spans="1:17" ht="14.4" x14ac:dyDescent="0.3">
      <c r="A938" s="63">
        <v>45576</v>
      </c>
      <c r="B938" s="64">
        <v>23611.25</v>
      </c>
      <c r="C938" s="47">
        <f t="shared" si="70"/>
        <v>5.5512826217296585E-4</v>
      </c>
      <c r="D938" s="65">
        <v>981.01246461999995</v>
      </c>
      <c r="E938" s="47">
        <f t="shared" si="71"/>
        <v>-1.8428424004374611E-2</v>
      </c>
      <c r="H938" s="65">
        <v>1299.40116511</v>
      </c>
      <c r="I938" s="47">
        <f t="shared" si="72"/>
        <v>-2.2674880032408362E-3</v>
      </c>
      <c r="L938" s="65">
        <v>547.90830229999995</v>
      </c>
      <c r="M938" s="47">
        <f t="shared" si="73"/>
        <v>2.4869109944436474E-2</v>
      </c>
      <c r="P938" s="65">
        <v>888.92951219999998</v>
      </c>
      <c r="Q938" s="47">
        <f t="shared" si="74"/>
        <v>-9.1833929030640249E-3</v>
      </c>
    </row>
    <row r="939" spans="1:17" ht="14.4" x14ac:dyDescent="0.3">
      <c r="A939" s="63">
        <v>45579</v>
      </c>
      <c r="B939" s="64">
        <v>23727.05</v>
      </c>
      <c r="C939" s="47">
        <f t="shared" si="70"/>
        <v>4.9044417385779582E-3</v>
      </c>
      <c r="D939" s="65">
        <v>991.27738927999997</v>
      </c>
      <c r="E939" s="47">
        <f t="shared" si="71"/>
        <v>1.0463602686206608E-2</v>
      </c>
      <c r="H939" s="65">
        <v>1279.66479652</v>
      </c>
      <c r="I939" s="47">
        <f t="shared" si="72"/>
        <v>-1.5188818603475096E-2</v>
      </c>
      <c r="L939" s="65">
        <v>581.84642829999996</v>
      </c>
      <c r="M939" s="47">
        <f t="shared" si="73"/>
        <v>6.1941251588149226E-2</v>
      </c>
      <c r="P939" s="65">
        <v>893.51772646999996</v>
      </c>
      <c r="Q939" s="47">
        <f t="shared" si="74"/>
        <v>5.161505166640934E-3</v>
      </c>
    </row>
    <row r="940" spans="1:17" ht="14.4" x14ac:dyDescent="0.3">
      <c r="A940" s="63">
        <v>45580</v>
      </c>
      <c r="B940" s="64">
        <v>23735.7</v>
      </c>
      <c r="C940" s="47">
        <f t="shared" si="70"/>
        <v>3.6456280911445482E-4</v>
      </c>
      <c r="D940" s="65">
        <v>1008.46745449</v>
      </c>
      <c r="E940" s="47">
        <f t="shared" si="71"/>
        <v>1.7341326853511418E-2</v>
      </c>
      <c r="H940" s="65">
        <v>1280.59993618</v>
      </c>
      <c r="I940" s="47">
        <f t="shared" si="72"/>
        <v>7.3076923155435125E-4</v>
      </c>
      <c r="L940" s="65">
        <v>570.30046790999995</v>
      </c>
      <c r="M940" s="47">
        <f t="shared" si="73"/>
        <v>-1.9843656037786817E-2</v>
      </c>
      <c r="P940" s="65">
        <v>883.69993465000005</v>
      </c>
      <c r="Q940" s="47">
        <f t="shared" si="74"/>
        <v>-1.0987797476371131E-2</v>
      </c>
    </row>
    <row r="941" spans="1:17" ht="14.4" x14ac:dyDescent="0.3">
      <c r="A941" s="63">
        <v>45581</v>
      </c>
      <c r="B941" s="64">
        <v>23673.15</v>
      </c>
      <c r="C941" s="47">
        <f t="shared" si="70"/>
        <v>-2.6352709210176739E-3</v>
      </c>
      <c r="D941" s="65">
        <v>999.18481928000006</v>
      </c>
      <c r="E941" s="47">
        <f t="shared" si="71"/>
        <v>-9.2046948750511559E-3</v>
      </c>
      <c r="H941" s="65">
        <v>1268.7384278699999</v>
      </c>
      <c r="I941" s="47">
        <f t="shared" si="72"/>
        <v>-9.2624620499222043E-3</v>
      </c>
      <c r="L941" s="65">
        <v>578.59756499000002</v>
      </c>
      <c r="M941" s="47">
        <f t="shared" si="73"/>
        <v>1.4548641544003482E-2</v>
      </c>
      <c r="P941" s="65">
        <v>871.95805298000005</v>
      </c>
      <c r="Q941" s="47">
        <f t="shared" si="74"/>
        <v>-1.3287181779243373E-2</v>
      </c>
    </row>
    <row r="942" spans="1:17" ht="14.4" x14ac:dyDescent="0.3">
      <c r="A942" s="63">
        <v>45582</v>
      </c>
      <c r="B942" s="64">
        <v>23377</v>
      </c>
      <c r="C942" s="47">
        <f t="shared" si="70"/>
        <v>-1.250995325928328E-2</v>
      </c>
      <c r="D942" s="65">
        <v>975.41341480999995</v>
      </c>
      <c r="E942" s="47">
        <f t="shared" si="71"/>
        <v>-2.3790798270063251E-2</v>
      </c>
      <c r="H942" s="65">
        <v>1278.9265283699999</v>
      </c>
      <c r="I942" s="47">
        <f t="shared" si="72"/>
        <v>8.0301031924319144E-3</v>
      </c>
      <c r="L942" s="65">
        <v>574.04915634999998</v>
      </c>
      <c r="M942" s="47">
        <f t="shared" si="73"/>
        <v>-7.8610919146863134E-3</v>
      </c>
      <c r="P942" s="65">
        <v>864.21235793000005</v>
      </c>
      <c r="Q942" s="47">
        <f t="shared" si="74"/>
        <v>-8.8831051259040672E-3</v>
      </c>
    </row>
    <row r="943" spans="1:17" ht="14.4" x14ac:dyDescent="0.3">
      <c r="A943" s="63">
        <v>45583</v>
      </c>
      <c r="B943" s="64">
        <v>23440.7</v>
      </c>
      <c r="C943" s="47">
        <f t="shared" si="70"/>
        <v>2.7249005432690154E-3</v>
      </c>
      <c r="D943" s="65">
        <v>974.28378195000005</v>
      </c>
      <c r="E943" s="47">
        <f t="shared" si="71"/>
        <v>-1.1581067502746123E-3</v>
      </c>
      <c r="H943" s="65">
        <v>1274.3984837</v>
      </c>
      <c r="I943" s="47">
        <f t="shared" si="72"/>
        <v>-3.5405041412119864E-3</v>
      </c>
      <c r="L943" s="65">
        <v>570.90025806000006</v>
      </c>
      <c r="M943" s="47">
        <f t="shared" si="73"/>
        <v>-5.4854157612941323E-3</v>
      </c>
      <c r="P943" s="65">
        <v>848.67163219999998</v>
      </c>
      <c r="Q943" s="47">
        <f t="shared" si="74"/>
        <v>-1.7982531246398592E-2</v>
      </c>
    </row>
    <row r="944" spans="1:17" ht="14.4" x14ac:dyDescent="0.3">
      <c r="A944" s="63">
        <v>45586</v>
      </c>
      <c r="B944" s="64">
        <v>23263.25</v>
      </c>
      <c r="C944" s="47">
        <f t="shared" si="70"/>
        <v>-7.5701664199447904E-3</v>
      </c>
      <c r="D944" s="65">
        <v>963.92062835000002</v>
      </c>
      <c r="E944" s="47">
        <f t="shared" si="71"/>
        <v>-1.0636689014014489E-2</v>
      </c>
      <c r="H944" s="65">
        <v>1257.17222683</v>
      </c>
      <c r="I944" s="47">
        <f t="shared" si="72"/>
        <v>-1.351716679698689E-2</v>
      </c>
      <c r="L944" s="65">
        <v>541.46055818000002</v>
      </c>
      <c r="M944" s="47">
        <f t="shared" si="73"/>
        <v>-5.156715111679977E-2</v>
      </c>
      <c r="P944" s="65">
        <v>846.30352160999996</v>
      </c>
      <c r="Q944" s="47">
        <f t="shared" si="74"/>
        <v>-2.7903732140324156E-3</v>
      </c>
    </row>
    <row r="945" spans="1:17" ht="14.4" x14ac:dyDescent="0.3">
      <c r="A945" s="63">
        <v>45587</v>
      </c>
      <c r="B945" s="64">
        <v>22814.45</v>
      </c>
      <c r="C945" s="47">
        <f t="shared" si="70"/>
        <v>-1.9292231309038899E-2</v>
      </c>
      <c r="D945" s="65">
        <v>918.53885618000004</v>
      </c>
      <c r="E945" s="47">
        <f t="shared" si="71"/>
        <v>-4.7080403547004268E-2</v>
      </c>
      <c r="H945" s="65">
        <v>1230.7914448700001</v>
      </c>
      <c r="I945" s="47">
        <f t="shared" si="72"/>
        <v>-2.0984222684046983E-2</v>
      </c>
      <c r="L945" s="65">
        <v>503.02400605000003</v>
      </c>
      <c r="M945" s="47">
        <f t="shared" si="73"/>
        <v>-7.0986799591083782E-2</v>
      </c>
      <c r="P945" s="65">
        <v>842.94869827000002</v>
      </c>
      <c r="Q945" s="47">
        <f t="shared" si="74"/>
        <v>-3.9640900153856684E-3</v>
      </c>
    </row>
    <row r="946" spans="1:17" ht="14.4" x14ac:dyDescent="0.3">
      <c r="A946" s="63">
        <v>45588</v>
      </c>
      <c r="B946" s="64">
        <v>22841.1</v>
      </c>
      <c r="C946" s="47">
        <f t="shared" si="70"/>
        <v>1.1681193278820778E-3</v>
      </c>
      <c r="D946" s="65">
        <v>915.83756022</v>
      </c>
      <c r="E946" s="47">
        <f t="shared" si="71"/>
        <v>-2.9408619372228717E-3</v>
      </c>
      <c r="H946" s="65">
        <v>1210.8089868899999</v>
      </c>
      <c r="I946" s="47">
        <f t="shared" si="72"/>
        <v>-1.6235454075739675E-2</v>
      </c>
      <c r="L946" s="65">
        <v>539.96108280999999</v>
      </c>
      <c r="M946" s="47">
        <f t="shared" si="73"/>
        <v>7.3430047702988777E-2</v>
      </c>
      <c r="P946" s="65">
        <v>852.07579117</v>
      </c>
      <c r="Q946" s="47">
        <f t="shared" si="74"/>
        <v>1.0827578141744176E-2</v>
      </c>
    </row>
    <row r="947" spans="1:17" ht="14.4" x14ac:dyDescent="0.3">
      <c r="A947" s="63">
        <v>45589</v>
      </c>
      <c r="B947" s="64">
        <v>22787.85</v>
      </c>
      <c r="C947" s="47">
        <f t="shared" si="70"/>
        <v>-2.3313237978906942E-3</v>
      </c>
      <c r="D947" s="65">
        <v>901.69259226999998</v>
      </c>
      <c r="E947" s="47">
        <f t="shared" si="71"/>
        <v>-1.5444843675773812E-2</v>
      </c>
      <c r="H947" s="65">
        <v>1197.0771992699999</v>
      </c>
      <c r="I947" s="47">
        <f t="shared" si="72"/>
        <v>-1.1341002394829047E-2</v>
      </c>
      <c r="L947" s="65">
        <v>530.11452784000005</v>
      </c>
      <c r="M947" s="47">
        <f t="shared" si="73"/>
        <v>-1.8235675280073305E-2</v>
      </c>
      <c r="P947" s="65">
        <v>856.76267671000005</v>
      </c>
      <c r="Q947" s="47">
        <f t="shared" si="74"/>
        <v>5.5005500550184827E-3</v>
      </c>
    </row>
    <row r="948" spans="1:17" ht="14.4" x14ac:dyDescent="0.3">
      <c r="A948" s="63">
        <v>45590</v>
      </c>
      <c r="B948" s="64">
        <v>22499.05</v>
      </c>
      <c r="C948" s="47">
        <f t="shared" si="70"/>
        <v>-1.2673420265624014E-2</v>
      </c>
      <c r="D948" s="65">
        <v>879.19816406999996</v>
      </c>
      <c r="E948" s="47">
        <f t="shared" si="71"/>
        <v>-2.4946892536147569E-2</v>
      </c>
      <c r="H948" s="65">
        <v>1165.13479723</v>
      </c>
      <c r="I948" s="47">
        <f t="shared" si="72"/>
        <v>-2.6683660886264504E-2</v>
      </c>
      <c r="L948" s="65">
        <v>503.97367379000002</v>
      </c>
      <c r="M948" s="47">
        <f t="shared" si="73"/>
        <v>-4.9311710351559901E-2</v>
      </c>
      <c r="P948" s="65">
        <v>833.13090646000001</v>
      </c>
      <c r="Q948" s="47">
        <f t="shared" si="74"/>
        <v>-2.7582632731793288E-2</v>
      </c>
    </row>
    <row r="949" spans="1:17" ht="14.4" x14ac:dyDescent="0.3">
      <c r="A949" s="63">
        <v>45593</v>
      </c>
      <c r="B949" s="64">
        <v>22649.95</v>
      </c>
      <c r="C949" s="47">
        <f t="shared" si="70"/>
        <v>6.7069498489937818E-3</v>
      </c>
      <c r="D949" s="65">
        <v>888.48079929000005</v>
      </c>
      <c r="E949" s="47">
        <f t="shared" si="71"/>
        <v>1.0558069385664615E-2</v>
      </c>
      <c r="H949" s="65">
        <v>1159.72083079</v>
      </c>
      <c r="I949" s="47">
        <f t="shared" si="72"/>
        <v>-4.6466438500258889E-3</v>
      </c>
      <c r="L949" s="65">
        <v>523.41687116000003</v>
      </c>
      <c r="M949" s="47">
        <f t="shared" si="73"/>
        <v>3.8579787757131445E-2</v>
      </c>
      <c r="P949" s="65">
        <v>844.28076048000003</v>
      </c>
      <c r="Q949" s="47">
        <f t="shared" si="74"/>
        <v>1.3383075737012362E-2</v>
      </c>
    </row>
    <row r="950" spans="1:17" ht="14.4" x14ac:dyDescent="0.3">
      <c r="A950" s="63">
        <v>45594</v>
      </c>
      <c r="B950" s="64">
        <v>22795.05</v>
      </c>
      <c r="C950" s="47">
        <f t="shared" si="70"/>
        <v>6.4061951571636744E-3</v>
      </c>
      <c r="D950" s="65">
        <v>908.17570258000001</v>
      </c>
      <c r="E950" s="47">
        <f t="shared" si="71"/>
        <v>2.2166943062515765E-2</v>
      </c>
      <c r="H950" s="65">
        <v>1222.17831643</v>
      </c>
      <c r="I950" s="47">
        <f t="shared" si="72"/>
        <v>5.3855621095858064E-2</v>
      </c>
      <c r="L950" s="65">
        <v>513.82022875999996</v>
      </c>
      <c r="M950" s="47">
        <f t="shared" si="73"/>
        <v>-1.8334606560793332E-2</v>
      </c>
      <c r="P950" s="65">
        <v>851.53309916000001</v>
      </c>
      <c r="Q950" s="47">
        <f t="shared" si="74"/>
        <v>8.5899608512656211E-3</v>
      </c>
    </row>
    <row r="951" spans="1:17" ht="14.4" x14ac:dyDescent="0.3">
      <c r="A951" s="63">
        <v>45595</v>
      </c>
      <c r="B951" s="64">
        <v>22749.8</v>
      </c>
      <c r="C951" s="47">
        <f t="shared" si="70"/>
        <v>-1.9850800941432212E-3</v>
      </c>
      <c r="D951" s="65">
        <v>933.07673991000001</v>
      </c>
      <c r="E951" s="47">
        <f t="shared" si="71"/>
        <v>2.7418744257592165E-2</v>
      </c>
      <c r="H951" s="65">
        <v>1241.3732883800001</v>
      </c>
      <c r="I951" s="47">
        <f t="shared" si="72"/>
        <v>1.5705541238915766E-2</v>
      </c>
      <c r="L951" s="65">
        <v>538.46160742999996</v>
      </c>
      <c r="M951" s="47">
        <f t="shared" si="73"/>
        <v>4.7957198433909332E-2</v>
      </c>
      <c r="P951" s="65">
        <v>854.69057994000002</v>
      </c>
      <c r="Q951" s="47">
        <f t="shared" si="74"/>
        <v>3.7079953593286419E-3</v>
      </c>
    </row>
    <row r="952" spans="1:17" ht="14.4" x14ac:dyDescent="0.3">
      <c r="A952" s="63">
        <v>45596</v>
      </c>
      <c r="B952" s="64">
        <v>22689.35</v>
      </c>
      <c r="C952" s="47">
        <f t="shared" si="70"/>
        <v>-2.6571662168458632E-3</v>
      </c>
      <c r="D952" s="65">
        <v>967.45687034000002</v>
      </c>
      <c r="E952" s="47">
        <f t="shared" si="71"/>
        <v>3.6845983786195413E-2</v>
      </c>
      <c r="H952" s="65">
        <v>1254.2191542200001</v>
      </c>
      <c r="I952" s="47">
        <f t="shared" si="72"/>
        <v>1.0348108792290756E-2</v>
      </c>
      <c r="L952" s="65">
        <v>541.66048823000006</v>
      </c>
      <c r="M952" s="47">
        <f t="shared" si="73"/>
        <v>5.9407778676512368E-3</v>
      </c>
      <c r="P952" s="65">
        <v>859.42680112000005</v>
      </c>
      <c r="Q952" s="47">
        <f t="shared" si="74"/>
        <v>5.5414453969206967E-3</v>
      </c>
    </row>
    <row r="953" spans="1:17" ht="14.4" x14ac:dyDescent="0.3">
      <c r="A953" s="63">
        <v>45597</v>
      </c>
      <c r="B953" s="64">
        <v>22823.55</v>
      </c>
      <c r="C953" s="47">
        <f t="shared" si="70"/>
        <v>5.9146692170555237E-3</v>
      </c>
      <c r="D953" s="65">
        <v>984.30313424999997</v>
      </c>
      <c r="E953" s="47">
        <f t="shared" si="71"/>
        <v>1.7412935321943213E-2</v>
      </c>
      <c r="H953" s="65">
        <v>1273.4141261699999</v>
      </c>
      <c r="I953" s="47">
        <f t="shared" si="72"/>
        <v>1.5304320529164084E-2</v>
      </c>
      <c r="L953" s="65">
        <v>546.05894933000002</v>
      </c>
      <c r="M953" s="47">
        <f t="shared" si="73"/>
        <v>8.1203285001882897E-3</v>
      </c>
      <c r="P953" s="65">
        <v>860.95620586999996</v>
      </c>
      <c r="Q953" s="47">
        <f t="shared" si="74"/>
        <v>1.7795637138693365E-3</v>
      </c>
    </row>
    <row r="954" spans="1:17" ht="14.4" x14ac:dyDescent="0.3">
      <c r="A954" s="63">
        <v>45600</v>
      </c>
      <c r="B954" s="64">
        <v>22518.3</v>
      </c>
      <c r="C954" s="47">
        <f t="shared" si="70"/>
        <v>-1.3374343605617844E-2</v>
      </c>
      <c r="D954" s="65">
        <v>951.54378139000005</v>
      </c>
      <c r="E954" s="47">
        <f t="shared" si="71"/>
        <v>-3.3281772372858787E-2</v>
      </c>
      <c r="H954" s="65">
        <v>1244.32636099</v>
      </c>
      <c r="I954" s="47">
        <f t="shared" si="72"/>
        <v>-2.2842345300099764E-2</v>
      </c>
      <c r="L954" s="65">
        <v>534.91284903999997</v>
      </c>
      <c r="M954" s="47">
        <f t="shared" si="73"/>
        <v>-2.0411899308080184E-2</v>
      </c>
      <c r="P954" s="65">
        <v>863.52165901000001</v>
      </c>
      <c r="Q954" s="47">
        <f t="shared" si="74"/>
        <v>2.9797719355628693E-3</v>
      </c>
    </row>
    <row r="955" spans="1:17" ht="14.4" x14ac:dyDescent="0.3">
      <c r="A955" s="63">
        <v>45601</v>
      </c>
      <c r="B955" s="64">
        <v>22679.85</v>
      </c>
      <c r="C955" s="47">
        <f t="shared" si="70"/>
        <v>7.1741650124566014E-3</v>
      </c>
      <c r="D955" s="65">
        <v>932.24179388000005</v>
      </c>
      <c r="E955" s="47">
        <f t="shared" si="71"/>
        <v>-2.0284917927585022E-2</v>
      </c>
      <c r="H955" s="65">
        <v>1210.66133326</v>
      </c>
      <c r="I955" s="47">
        <f t="shared" si="72"/>
        <v>-2.7054821617068181E-2</v>
      </c>
      <c r="L955" s="65">
        <v>541.21064562000004</v>
      </c>
      <c r="M955" s="47">
        <f t="shared" si="73"/>
        <v>1.1773500283836169E-2</v>
      </c>
      <c r="P955" s="65">
        <v>863.42298774000005</v>
      </c>
      <c r="Q955" s="47">
        <f t="shared" si="74"/>
        <v>-1.1426612056619767E-4</v>
      </c>
    </row>
    <row r="956" spans="1:17" ht="14.4" x14ac:dyDescent="0.3">
      <c r="A956" s="63">
        <v>45602</v>
      </c>
      <c r="B956" s="64">
        <v>23031.200000000001</v>
      </c>
      <c r="C956" s="47">
        <f t="shared" si="70"/>
        <v>1.5491725033454973E-2</v>
      </c>
      <c r="D956" s="65">
        <v>958.86183773000005</v>
      </c>
      <c r="E956" s="47">
        <f t="shared" si="71"/>
        <v>2.8554870662049092E-2</v>
      </c>
      <c r="H956" s="65">
        <v>1256.3847407999999</v>
      </c>
      <c r="I956" s="47">
        <f t="shared" si="72"/>
        <v>3.7767298156684781E-2</v>
      </c>
      <c r="L956" s="65">
        <v>580.19700538999996</v>
      </c>
      <c r="M956" s="47">
        <f t="shared" si="73"/>
        <v>7.2035463613872475E-2</v>
      </c>
      <c r="P956" s="65">
        <v>872.89543008999999</v>
      </c>
      <c r="Q956" s="47">
        <f t="shared" si="74"/>
        <v>1.0970801663265917E-2</v>
      </c>
    </row>
    <row r="957" spans="1:17" ht="14.4" x14ac:dyDescent="0.3">
      <c r="A957" s="63">
        <v>45603</v>
      </c>
      <c r="B957" s="64">
        <v>22806.25</v>
      </c>
      <c r="C957" s="47">
        <f t="shared" si="70"/>
        <v>-9.7671853833061206E-3</v>
      </c>
      <c r="D957" s="65">
        <v>1032.0915155499999</v>
      </c>
      <c r="E957" s="47">
        <f t="shared" si="71"/>
        <v>7.6371459305715206E-2</v>
      </c>
      <c r="H957" s="65">
        <v>1250.72468497</v>
      </c>
      <c r="I957" s="47">
        <f t="shared" si="72"/>
        <v>-4.5050338850788352E-3</v>
      </c>
      <c r="L957" s="65">
        <v>583.84572879999996</v>
      </c>
      <c r="M957" s="47">
        <f t="shared" si="73"/>
        <v>6.288766360569964E-3</v>
      </c>
      <c r="P957" s="65">
        <v>907.23303363000002</v>
      </c>
      <c r="Q957" s="47">
        <f t="shared" si="74"/>
        <v>3.9337591143603134E-2</v>
      </c>
    </row>
    <row r="958" spans="1:17" ht="14.4" x14ac:dyDescent="0.3">
      <c r="A958" s="63">
        <v>45604</v>
      </c>
      <c r="B958" s="64">
        <v>22645.65</v>
      </c>
      <c r="C958" s="47">
        <f t="shared" si="70"/>
        <v>-7.0419292956973578E-3</v>
      </c>
      <c r="D958" s="65">
        <v>1002.57371785</v>
      </c>
      <c r="E958" s="47">
        <f t="shared" si="71"/>
        <v>-2.8599980966096727E-2</v>
      </c>
      <c r="H958" s="65">
        <v>1227.3954113699999</v>
      </c>
      <c r="I958" s="47">
        <f t="shared" si="72"/>
        <v>-1.8652605069963579E-2</v>
      </c>
      <c r="L958" s="65">
        <v>564.65244399000005</v>
      </c>
      <c r="M958" s="47">
        <f t="shared" si="73"/>
        <v>-3.2873897783663786E-2</v>
      </c>
      <c r="P958" s="65">
        <v>866.82714670999997</v>
      </c>
      <c r="Q958" s="47">
        <f t="shared" si="74"/>
        <v>-4.4537495243453518E-2</v>
      </c>
    </row>
    <row r="959" spans="1:17" ht="14.4" x14ac:dyDescent="0.3">
      <c r="A959" s="63">
        <v>45607</v>
      </c>
      <c r="B959" s="64">
        <v>22591.4</v>
      </c>
      <c r="C959" s="47">
        <f t="shared" si="70"/>
        <v>-2.3956035706637069E-3</v>
      </c>
      <c r="D959" s="65">
        <v>979.09700021000003</v>
      </c>
      <c r="E959" s="47">
        <f t="shared" si="71"/>
        <v>-2.3416450303869296E-2</v>
      </c>
      <c r="H959" s="65">
        <v>1230.44691973</v>
      </c>
      <c r="I959" s="47">
        <f t="shared" si="72"/>
        <v>2.4861656901535856E-3</v>
      </c>
      <c r="L959" s="65">
        <v>571.55003072</v>
      </c>
      <c r="M959" s="47">
        <f t="shared" si="73"/>
        <v>1.2215632471648474E-2</v>
      </c>
      <c r="P959" s="65">
        <v>847.48757690000002</v>
      </c>
      <c r="Q959" s="47">
        <f t="shared" si="74"/>
        <v>-2.2310756975485013E-2</v>
      </c>
    </row>
    <row r="960" spans="1:17" ht="14.4" x14ac:dyDescent="0.3">
      <c r="A960" s="63">
        <v>45608</v>
      </c>
      <c r="B960" s="64">
        <v>22331.05</v>
      </c>
      <c r="C960" s="47">
        <f t="shared" si="70"/>
        <v>-1.1524296856325944E-2</v>
      </c>
      <c r="D960" s="65">
        <v>984.89250790999995</v>
      </c>
      <c r="E960" s="47">
        <f t="shared" si="71"/>
        <v>5.9192375206511549E-3</v>
      </c>
      <c r="H960" s="65">
        <v>1222.22753431</v>
      </c>
      <c r="I960" s="47">
        <f t="shared" si="72"/>
        <v>-6.6799999969145984E-3</v>
      </c>
      <c r="L960" s="65">
        <v>550.80728801999999</v>
      </c>
      <c r="M960" s="47">
        <f t="shared" si="73"/>
        <v>-3.6292085705725063E-2</v>
      </c>
      <c r="P960" s="65">
        <v>824.10248483999999</v>
      </c>
      <c r="Q960" s="47">
        <f t="shared" si="74"/>
        <v>-2.7593433458387273E-2</v>
      </c>
    </row>
    <row r="961" spans="1:17" ht="14.4" x14ac:dyDescent="0.3">
      <c r="A961" s="63">
        <v>45609</v>
      </c>
      <c r="B961" s="64">
        <v>21914.95</v>
      </c>
      <c r="C961" s="47">
        <f t="shared" si="70"/>
        <v>-1.8633248324642082E-2</v>
      </c>
      <c r="D961" s="65">
        <v>948.54779859999996</v>
      </c>
      <c r="E961" s="47">
        <f t="shared" si="71"/>
        <v>-3.6902209142727238E-2</v>
      </c>
      <c r="H961" s="65">
        <v>1168.13708772</v>
      </c>
      <c r="I961" s="47">
        <f t="shared" si="72"/>
        <v>-4.4255627591090474E-2</v>
      </c>
      <c r="L961" s="65">
        <v>518.26867236999999</v>
      </c>
      <c r="M961" s="47">
        <f t="shared" si="73"/>
        <v>-5.9074410157075707E-2</v>
      </c>
      <c r="P961" s="65">
        <v>795.43847959000004</v>
      </c>
      <c r="Q961" s="47">
        <f t="shared" si="74"/>
        <v>-3.4782088122892962E-2</v>
      </c>
    </row>
    <row r="962" spans="1:17" ht="14.4" x14ac:dyDescent="0.3">
      <c r="A962" s="63">
        <v>45610</v>
      </c>
      <c r="B962" s="64">
        <v>21963.1</v>
      </c>
      <c r="C962" s="47">
        <f t="shared" si="70"/>
        <v>2.1971302695191763E-3</v>
      </c>
      <c r="D962" s="65">
        <v>988.03583412</v>
      </c>
      <c r="E962" s="47">
        <f t="shared" si="71"/>
        <v>4.1629990157883379E-2</v>
      </c>
      <c r="H962" s="65">
        <v>1180.2446854100001</v>
      </c>
      <c r="I962" s="47">
        <f t="shared" si="72"/>
        <v>1.0364877390916627E-2</v>
      </c>
      <c r="L962" s="65">
        <v>530.96423055000002</v>
      </c>
      <c r="M962" s="47">
        <f t="shared" si="73"/>
        <v>2.4496094124200729E-2</v>
      </c>
      <c r="P962" s="65">
        <v>771.90538060999995</v>
      </c>
      <c r="Q962" s="47">
        <f t="shared" si="74"/>
        <v>-2.9585064821266882E-2</v>
      </c>
    </row>
    <row r="963" spans="1:17" ht="14.4" x14ac:dyDescent="0.3">
      <c r="A963" s="63">
        <v>45614</v>
      </c>
      <c r="B963" s="64">
        <v>21899.4</v>
      </c>
      <c r="C963" s="47">
        <f t="shared" si="70"/>
        <v>-2.9003191717015264E-3</v>
      </c>
      <c r="D963" s="65">
        <v>988.33052095999994</v>
      </c>
      <c r="E963" s="47">
        <f t="shared" si="71"/>
        <v>2.9825521486515072E-4</v>
      </c>
      <c r="H963" s="65">
        <v>1178.1283166999999</v>
      </c>
      <c r="I963" s="47">
        <f t="shared" si="72"/>
        <v>-1.793160974298269E-3</v>
      </c>
      <c r="L963" s="65">
        <v>529.51473768999995</v>
      </c>
      <c r="M963" s="47">
        <f t="shared" si="73"/>
        <v>-2.7299256270024719E-3</v>
      </c>
      <c r="P963" s="65">
        <v>755.42727777000005</v>
      </c>
      <c r="Q963" s="47">
        <f t="shared" si="74"/>
        <v>-2.1347309209035492E-2</v>
      </c>
    </row>
    <row r="964" spans="1:17" ht="14.4" x14ac:dyDescent="0.3">
      <c r="A964" s="63">
        <v>45615</v>
      </c>
      <c r="B964" s="64">
        <v>22004.35</v>
      </c>
      <c r="C964" s="47">
        <f t="shared" ref="C964:C1027" si="75">B964/B963-1</f>
        <v>4.7923687406958848E-3</v>
      </c>
      <c r="D964" s="65">
        <v>977.32887921999998</v>
      </c>
      <c r="E964" s="47">
        <f t="shared" ref="E964:E1027" si="76">D964/D963-1</f>
        <v>-1.1131541024670288E-2</v>
      </c>
      <c r="H964" s="65">
        <v>1176.15960163</v>
      </c>
      <c r="I964" s="47">
        <f t="shared" ref="I964:I1027" si="77">H964/H963-1</f>
        <v>-1.6710531799408734E-3</v>
      </c>
      <c r="L964" s="65">
        <v>529.01491255999997</v>
      </c>
      <c r="M964" s="47">
        <f t="shared" ref="M964:M1027" si="78">L964/L963-1</f>
        <v>-9.4393053568342378E-4</v>
      </c>
      <c r="P964" s="65">
        <v>752.31913262</v>
      </c>
      <c r="Q964" s="47">
        <f t="shared" ref="Q964:Q1027" si="79">P964/P963-1</f>
        <v>-4.1144200659197772E-3</v>
      </c>
    </row>
    <row r="965" spans="1:17" ht="14.4" x14ac:dyDescent="0.3">
      <c r="A965" s="63">
        <v>45617</v>
      </c>
      <c r="B965" s="64">
        <v>21820.85</v>
      </c>
      <c r="C965" s="47">
        <f t="shared" si="75"/>
        <v>-8.3392601917348097E-3</v>
      </c>
      <c r="D965" s="65">
        <v>974.43112537000002</v>
      </c>
      <c r="E965" s="47">
        <f t="shared" si="76"/>
        <v>-2.9649731135671376E-3</v>
      </c>
      <c r="H965" s="65">
        <v>1127.0401606</v>
      </c>
      <c r="I965" s="47">
        <f t="shared" si="77"/>
        <v>-4.1762564333893915E-2</v>
      </c>
      <c r="L965" s="65">
        <v>531.16416059999995</v>
      </c>
      <c r="M965" s="47">
        <f t="shared" si="78"/>
        <v>4.0627362083223151E-3</v>
      </c>
      <c r="P965" s="65">
        <v>743.68539610000005</v>
      </c>
      <c r="Q965" s="47">
        <f t="shared" si="79"/>
        <v>-1.1476162369993714E-2</v>
      </c>
    </row>
    <row r="966" spans="1:17" ht="14.4" x14ac:dyDescent="0.3">
      <c r="A966" s="63">
        <v>45618</v>
      </c>
      <c r="B966" s="64">
        <v>22225.55</v>
      </c>
      <c r="C966" s="47">
        <f t="shared" si="75"/>
        <v>1.8546481919815339E-2</v>
      </c>
      <c r="D966" s="65">
        <v>981.50360934000003</v>
      </c>
      <c r="E966" s="47">
        <f t="shared" si="76"/>
        <v>7.258064511552309E-3</v>
      </c>
      <c r="H966" s="65">
        <v>1104.5475908999999</v>
      </c>
      <c r="I966" s="47">
        <f t="shared" si="77"/>
        <v>-1.99572033777623E-2</v>
      </c>
      <c r="L966" s="65">
        <v>531.51403818999995</v>
      </c>
      <c r="M966" s="47">
        <f t="shared" si="78"/>
        <v>6.5869954329134117E-4</v>
      </c>
      <c r="P966" s="65">
        <v>740.67592222999997</v>
      </c>
      <c r="Q966" s="47">
        <f t="shared" si="79"/>
        <v>-4.046702928122814E-3</v>
      </c>
    </row>
    <row r="967" spans="1:17" ht="14.4" x14ac:dyDescent="0.3">
      <c r="A967" s="63">
        <v>45621</v>
      </c>
      <c r="B967" s="64">
        <v>22553.5</v>
      </c>
      <c r="C967" s="47">
        <f t="shared" si="75"/>
        <v>1.4755540357831443E-2</v>
      </c>
      <c r="D967" s="65">
        <v>1021.38456064</v>
      </c>
      <c r="E967" s="47">
        <f t="shared" si="76"/>
        <v>4.0632506004555147E-2</v>
      </c>
      <c r="H967" s="65">
        <v>1102.13591494</v>
      </c>
      <c r="I967" s="47">
        <f t="shared" si="77"/>
        <v>-2.183406111125441E-3</v>
      </c>
      <c r="L967" s="65">
        <v>542.76010351000002</v>
      </c>
      <c r="M967" s="47">
        <f t="shared" si="78"/>
        <v>2.1158548056975146E-2</v>
      </c>
      <c r="P967" s="65">
        <v>739.54120257</v>
      </c>
      <c r="Q967" s="47">
        <f t="shared" si="79"/>
        <v>-1.5320055991338011E-3</v>
      </c>
    </row>
    <row r="968" spans="1:17" ht="14.4" x14ac:dyDescent="0.3">
      <c r="A968" s="63">
        <v>45622</v>
      </c>
      <c r="B968" s="64">
        <v>22562.45</v>
      </c>
      <c r="C968" s="47">
        <f t="shared" si="75"/>
        <v>3.9683419424929589E-4</v>
      </c>
      <c r="D968" s="65">
        <v>1005.86438748</v>
      </c>
      <c r="E968" s="47">
        <f t="shared" si="76"/>
        <v>-1.5195229845921143E-2</v>
      </c>
      <c r="H968" s="65">
        <v>1116.5075349599999</v>
      </c>
      <c r="I968" s="47">
        <f t="shared" si="77"/>
        <v>1.303978921763238E-2</v>
      </c>
      <c r="L968" s="65">
        <v>551.75695575999998</v>
      </c>
      <c r="M968" s="47">
        <f t="shared" si="78"/>
        <v>1.6576111972522956E-2</v>
      </c>
      <c r="P968" s="65">
        <v>756.56199743000002</v>
      </c>
      <c r="Q968" s="47">
        <f t="shared" si="79"/>
        <v>2.3015343568215885E-2</v>
      </c>
    </row>
    <row r="969" spans="1:17" ht="14.4" x14ac:dyDescent="0.3">
      <c r="A969" s="63">
        <v>45623</v>
      </c>
      <c r="B969" s="64">
        <v>22691.7</v>
      </c>
      <c r="C969" s="47">
        <f t="shared" si="75"/>
        <v>5.7285445507913035E-3</v>
      </c>
      <c r="D969" s="65">
        <v>1004.93121251</v>
      </c>
      <c r="E969" s="47">
        <f t="shared" si="76"/>
        <v>-9.2773437613979937E-4</v>
      </c>
      <c r="H969" s="65">
        <v>1134.6197136200001</v>
      </c>
      <c r="I969" s="47">
        <f t="shared" si="77"/>
        <v>1.6222173243684468E-2</v>
      </c>
      <c r="L969" s="65">
        <v>562.50319594999996</v>
      </c>
      <c r="M969" s="47">
        <f t="shared" si="78"/>
        <v>1.9476401842905444E-2</v>
      </c>
      <c r="P969" s="65">
        <v>757.54871017000005</v>
      </c>
      <c r="Q969" s="47">
        <f t="shared" si="79"/>
        <v>1.3042060576025083E-3</v>
      </c>
    </row>
    <row r="970" spans="1:17" ht="14.4" x14ac:dyDescent="0.3">
      <c r="A970" s="63">
        <v>45624</v>
      </c>
      <c r="B970" s="64">
        <v>22514.35</v>
      </c>
      <c r="C970" s="47">
        <f t="shared" si="75"/>
        <v>-7.8156330288168263E-3</v>
      </c>
      <c r="D970" s="65">
        <v>1034.39989573</v>
      </c>
      <c r="E970" s="47">
        <f t="shared" si="76"/>
        <v>2.9324079950105775E-2</v>
      </c>
      <c r="H970" s="65">
        <v>1125.36675279</v>
      </c>
      <c r="I970" s="47">
        <f t="shared" si="77"/>
        <v>-8.1551208029680966E-3</v>
      </c>
      <c r="L970" s="65">
        <v>558.25468238999997</v>
      </c>
      <c r="M970" s="47">
        <f t="shared" si="78"/>
        <v>-7.5528700824974981E-3</v>
      </c>
      <c r="P970" s="65">
        <v>754.88458576000005</v>
      </c>
      <c r="Q970" s="47">
        <f t="shared" si="79"/>
        <v>-3.5167697789388885E-3</v>
      </c>
    </row>
    <row r="971" spans="1:17" ht="14.4" x14ac:dyDescent="0.3">
      <c r="A971" s="63">
        <v>45625</v>
      </c>
      <c r="B971" s="64">
        <v>22687</v>
      </c>
      <c r="C971" s="47">
        <f t="shared" si="75"/>
        <v>7.6684425710713544E-3</v>
      </c>
      <c r="D971" s="65">
        <v>1035.6277575399999</v>
      </c>
      <c r="E971" s="47">
        <f t="shared" si="76"/>
        <v>1.1870281648989067E-3</v>
      </c>
      <c r="H971" s="65">
        <v>1122.2168086700001</v>
      </c>
      <c r="I971" s="47">
        <f t="shared" si="77"/>
        <v>-2.7990378356127499E-3</v>
      </c>
      <c r="L971" s="65">
        <v>578.69753001000004</v>
      </c>
      <c r="M971" s="47">
        <f t="shared" si="78"/>
        <v>3.6619213890835889E-2</v>
      </c>
      <c r="P971" s="65">
        <v>756.95668251999996</v>
      </c>
      <c r="Q971" s="47">
        <f t="shared" si="79"/>
        <v>2.7449186260888325E-3</v>
      </c>
    </row>
    <row r="972" spans="1:17" ht="14.4" x14ac:dyDescent="0.3">
      <c r="A972" s="63">
        <v>45628</v>
      </c>
      <c r="B972" s="64">
        <v>22835.85</v>
      </c>
      <c r="C972" s="47">
        <f t="shared" si="75"/>
        <v>6.5610261383171053E-3</v>
      </c>
      <c r="D972" s="65">
        <v>1040.73566263</v>
      </c>
      <c r="E972" s="47">
        <f t="shared" si="76"/>
        <v>4.9321824881685128E-3</v>
      </c>
      <c r="H972" s="65">
        <v>1115.08021654</v>
      </c>
      <c r="I972" s="47">
        <f t="shared" si="77"/>
        <v>-6.3593701991133678E-3</v>
      </c>
      <c r="L972" s="65">
        <v>581.4465682</v>
      </c>
      <c r="M972" s="47">
        <f t="shared" si="78"/>
        <v>4.7503886701443232E-3</v>
      </c>
      <c r="P972" s="65">
        <v>772.05338753000001</v>
      </c>
      <c r="Q972" s="47">
        <f t="shared" si="79"/>
        <v>1.9943948390469757E-2</v>
      </c>
    </row>
    <row r="973" spans="1:17" ht="14.4" x14ac:dyDescent="0.3">
      <c r="A973" s="63">
        <v>45629</v>
      </c>
      <c r="B973" s="64">
        <v>23020.85</v>
      </c>
      <c r="C973" s="47">
        <f t="shared" si="75"/>
        <v>8.1012968643601191E-3</v>
      </c>
      <c r="D973" s="65">
        <v>1075.0175641200001</v>
      </c>
      <c r="E973" s="47">
        <f t="shared" si="76"/>
        <v>3.2940066071501573E-2</v>
      </c>
      <c r="H973" s="65">
        <v>1131.66664102</v>
      </c>
      <c r="I973" s="47">
        <f t="shared" si="77"/>
        <v>1.4874646894432741E-2</v>
      </c>
      <c r="L973" s="65">
        <v>572.19980338000005</v>
      </c>
      <c r="M973" s="47">
        <f t="shared" si="78"/>
        <v>-1.5903034475937217E-2</v>
      </c>
      <c r="P973" s="65">
        <v>776.54293052000003</v>
      </c>
      <c r="Q973" s="47">
        <f t="shared" si="79"/>
        <v>5.8150680542483624E-3</v>
      </c>
    </row>
    <row r="974" spans="1:17" ht="14.4" x14ac:dyDescent="0.3">
      <c r="A974" s="63">
        <v>45630</v>
      </c>
      <c r="B974" s="64">
        <v>23099.5</v>
      </c>
      <c r="C974" s="47">
        <f t="shared" si="75"/>
        <v>3.4164681147743625E-3</v>
      </c>
      <c r="D974" s="65">
        <v>1218.4318224900001</v>
      </c>
      <c r="E974" s="47">
        <f t="shared" si="76"/>
        <v>0.13340643274735475</v>
      </c>
      <c r="H974" s="65">
        <v>1148.0069761100001</v>
      </c>
      <c r="I974" s="47">
        <f t="shared" si="77"/>
        <v>1.4439177137246073E-2</v>
      </c>
      <c r="L974" s="65">
        <v>581.69648075999999</v>
      </c>
      <c r="M974" s="47">
        <f t="shared" si="78"/>
        <v>1.6596785465326613E-2</v>
      </c>
      <c r="P974" s="65">
        <v>783.59792664999998</v>
      </c>
      <c r="Q974" s="47">
        <f t="shared" si="79"/>
        <v>9.0851334198298606E-3</v>
      </c>
    </row>
    <row r="975" spans="1:17" ht="14.4" x14ac:dyDescent="0.3">
      <c r="A975" s="63">
        <v>45631</v>
      </c>
      <c r="B975" s="64">
        <v>23277.95</v>
      </c>
      <c r="C975" s="47">
        <f t="shared" si="75"/>
        <v>7.7252754388623668E-3</v>
      </c>
      <c r="D975" s="65">
        <v>1182.6273723700001</v>
      </c>
      <c r="E975" s="47">
        <f t="shared" si="76"/>
        <v>-2.9385682037448402E-2</v>
      </c>
      <c r="H975" s="65">
        <v>1229.61021583</v>
      </c>
      <c r="I975" s="47">
        <f t="shared" si="77"/>
        <v>7.1082529477748402E-2</v>
      </c>
      <c r="L975" s="65">
        <v>614.63495651999995</v>
      </c>
      <c r="M975" s="47">
        <f t="shared" si="78"/>
        <v>5.662484964145742E-2</v>
      </c>
      <c r="P975" s="65">
        <v>777.87499272000002</v>
      </c>
      <c r="Q975" s="47">
        <f t="shared" si="79"/>
        <v>-7.303406167071369E-3</v>
      </c>
    </row>
    <row r="976" spans="1:17" ht="14.4" x14ac:dyDescent="0.3">
      <c r="A976" s="63">
        <v>45632</v>
      </c>
      <c r="B976" s="64">
        <v>23312.1</v>
      </c>
      <c r="C976" s="47">
        <f t="shared" si="75"/>
        <v>1.4670535850449529E-3</v>
      </c>
      <c r="D976" s="65">
        <v>1194.1692733</v>
      </c>
      <c r="E976" s="47">
        <f t="shared" si="76"/>
        <v>9.7595415087254889E-3</v>
      </c>
      <c r="H976" s="65">
        <v>1251.3645173699999</v>
      </c>
      <c r="I976" s="47">
        <f t="shared" si="77"/>
        <v>1.769203058004476E-2</v>
      </c>
      <c r="L976" s="65">
        <v>621.83243832000005</v>
      </c>
      <c r="M976" s="47">
        <f t="shared" si="78"/>
        <v>1.1710173207120311E-2</v>
      </c>
      <c r="P976" s="65">
        <v>789.51820311999995</v>
      </c>
      <c r="Q976" s="47">
        <f t="shared" si="79"/>
        <v>1.496797108657133E-2</v>
      </c>
    </row>
    <row r="977" spans="1:17" ht="14.4" x14ac:dyDescent="0.3">
      <c r="A977" s="63">
        <v>45635</v>
      </c>
      <c r="B977" s="64">
        <v>23292</v>
      </c>
      <c r="C977" s="47">
        <f t="shared" si="75"/>
        <v>-8.6221318542722969E-4</v>
      </c>
      <c r="D977" s="65">
        <v>1162.8833546000001</v>
      </c>
      <c r="E977" s="47">
        <f t="shared" si="76"/>
        <v>-2.6198897760569162E-2</v>
      </c>
      <c r="H977" s="65">
        <v>1262.8322826599999</v>
      </c>
      <c r="I977" s="47">
        <f t="shared" si="77"/>
        <v>9.1642084547050029E-3</v>
      </c>
      <c r="L977" s="65">
        <v>627.03061962000004</v>
      </c>
      <c r="M977" s="47">
        <f t="shared" si="78"/>
        <v>8.3594566311848695E-3</v>
      </c>
      <c r="P977" s="65">
        <v>799.43466621000005</v>
      </c>
      <c r="Q977" s="47">
        <f t="shared" si="79"/>
        <v>1.2560144972987963E-2</v>
      </c>
    </row>
    <row r="978" spans="1:17" ht="14.4" x14ac:dyDescent="0.3">
      <c r="A978" s="63">
        <v>45636</v>
      </c>
      <c r="B978" s="64">
        <v>23314.9</v>
      </c>
      <c r="C978" s="47">
        <f t="shared" si="75"/>
        <v>9.8317018718874216E-4</v>
      </c>
      <c r="D978" s="65">
        <v>1196.33031007</v>
      </c>
      <c r="E978" s="47">
        <f t="shared" si="76"/>
        <v>2.8762089798339829E-2</v>
      </c>
      <c r="H978" s="65">
        <v>1264.3088189600001</v>
      </c>
      <c r="I978" s="47">
        <f t="shared" si="77"/>
        <v>1.1692259694928708E-3</v>
      </c>
      <c r="L978" s="65">
        <v>633.97818887000005</v>
      </c>
      <c r="M978" s="47">
        <f t="shared" si="78"/>
        <v>1.1080111612747912E-2</v>
      </c>
      <c r="P978" s="65">
        <v>842.45534190000001</v>
      </c>
      <c r="Q978" s="47">
        <f t="shared" si="79"/>
        <v>5.3813873113552235E-2</v>
      </c>
    </row>
    <row r="979" spans="1:17" ht="14.4" x14ac:dyDescent="0.3">
      <c r="A979" s="63">
        <v>45637</v>
      </c>
      <c r="B979" s="64">
        <v>23358.15</v>
      </c>
      <c r="C979" s="47">
        <f t="shared" si="75"/>
        <v>1.8550369077285911E-3</v>
      </c>
      <c r="D979" s="65">
        <v>1181.1539382000001</v>
      </c>
      <c r="E979" s="47">
        <f t="shared" si="76"/>
        <v>-1.2685770595507129E-2</v>
      </c>
      <c r="H979" s="65">
        <v>1291.18177969</v>
      </c>
      <c r="I979" s="47">
        <f t="shared" si="77"/>
        <v>2.1255060731210529E-2</v>
      </c>
      <c r="L979" s="65">
        <v>637.62691228000006</v>
      </c>
      <c r="M979" s="47">
        <f t="shared" si="78"/>
        <v>5.7552822385000812E-3</v>
      </c>
      <c r="P979" s="65">
        <v>819.36626365999996</v>
      </c>
      <c r="Q979" s="47">
        <f t="shared" si="79"/>
        <v>-2.7406886859933643E-2</v>
      </c>
    </row>
    <row r="980" spans="1:17" ht="14.4" x14ac:dyDescent="0.3">
      <c r="A980" s="63">
        <v>45638</v>
      </c>
      <c r="B980" s="64">
        <v>23256.400000000001</v>
      </c>
      <c r="C980" s="47">
        <f t="shared" si="75"/>
        <v>-4.3560812821220596E-3</v>
      </c>
      <c r="D980" s="65">
        <v>1172.9027069000001</v>
      </c>
      <c r="E980" s="47">
        <f t="shared" si="76"/>
        <v>-6.9857374497470648E-3</v>
      </c>
      <c r="H980" s="65">
        <v>1262.5861932800001</v>
      </c>
      <c r="I980" s="47">
        <f t="shared" si="77"/>
        <v>-2.21468323514179E-2</v>
      </c>
      <c r="L980" s="65">
        <v>636.27738443999999</v>
      </c>
      <c r="M980" s="47">
        <f t="shared" si="78"/>
        <v>-2.1164850698890403E-3</v>
      </c>
      <c r="P980" s="65">
        <v>806.83501179999996</v>
      </c>
      <c r="Q980" s="47">
        <f t="shared" si="79"/>
        <v>-1.529383429093667E-2</v>
      </c>
    </row>
    <row r="981" spans="1:17" ht="14.4" x14ac:dyDescent="0.3">
      <c r="A981" s="63">
        <v>45639</v>
      </c>
      <c r="B981" s="64">
        <v>23358.95</v>
      </c>
      <c r="C981" s="47">
        <f t="shared" si="75"/>
        <v>4.4095388796201451E-3</v>
      </c>
      <c r="D981" s="65">
        <v>1143.87605392</v>
      </c>
      <c r="E981" s="47">
        <f t="shared" si="76"/>
        <v>-2.4747707383776074E-2</v>
      </c>
      <c r="H981" s="65">
        <v>1283.5037909099999</v>
      </c>
      <c r="I981" s="47">
        <f t="shared" si="77"/>
        <v>1.6567263083765438E-2</v>
      </c>
      <c r="L981" s="65">
        <v>622.33226345000003</v>
      </c>
      <c r="M981" s="47">
        <f t="shared" si="78"/>
        <v>-2.1916732121908367E-2</v>
      </c>
      <c r="P981" s="65">
        <v>805.84829905000004</v>
      </c>
      <c r="Q981" s="47">
        <f t="shared" si="79"/>
        <v>-1.2229424052863092E-3</v>
      </c>
    </row>
    <row r="982" spans="1:17" ht="14.4" x14ac:dyDescent="0.3">
      <c r="A982" s="63">
        <v>45642</v>
      </c>
      <c r="B982" s="64">
        <v>23352.45</v>
      </c>
      <c r="C982" s="47">
        <f t="shared" si="75"/>
        <v>-2.7826593233004626E-4</v>
      </c>
      <c r="D982" s="65">
        <v>1164.0621019299999</v>
      </c>
      <c r="E982" s="47">
        <f t="shared" si="76"/>
        <v>1.7647058823220707E-2</v>
      </c>
      <c r="H982" s="65">
        <v>1302.5511092300001</v>
      </c>
      <c r="I982" s="47">
        <f t="shared" si="77"/>
        <v>1.4840095101313011E-2</v>
      </c>
      <c r="L982" s="65">
        <v>603.13897864</v>
      </c>
      <c r="M982" s="47">
        <f t="shared" si="78"/>
        <v>-3.0840896314131228E-2</v>
      </c>
      <c r="P982" s="65">
        <v>809.30179366000004</v>
      </c>
      <c r="Q982" s="47">
        <f t="shared" si="79"/>
        <v>4.2855393677336817E-3</v>
      </c>
    </row>
    <row r="983" spans="1:17" ht="14.4" x14ac:dyDescent="0.3">
      <c r="A983" s="63">
        <v>45643</v>
      </c>
      <c r="B983" s="64">
        <v>23095.75</v>
      </c>
      <c r="C983" s="47">
        <f t="shared" si="75"/>
        <v>-1.0992422636597055E-2</v>
      </c>
      <c r="D983" s="65">
        <v>1144.02339734</v>
      </c>
      <c r="E983" s="47">
        <f t="shared" si="76"/>
        <v>-1.7214463521126655E-2</v>
      </c>
      <c r="H983" s="65">
        <v>1318.4484834299999</v>
      </c>
      <c r="I983" s="47">
        <f t="shared" si="77"/>
        <v>1.2204798788584492E-2</v>
      </c>
      <c r="L983" s="65">
        <v>577.29801966000002</v>
      </c>
      <c r="M983" s="47">
        <f t="shared" si="78"/>
        <v>-4.2844120335694402E-2</v>
      </c>
      <c r="P983" s="65">
        <v>809.79515002999995</v>
      </c>
      <c r="Q983" s="47">
        <f t="shared" si="79"/>
        <v>6.0960740957805015E-4</v>
      </c>
    </row>
    <row r="984" spans="1:17" ht="14.4" x14ac:dyDescent="0.3">
      <c r="A984" s="63">
        <v>45644</v>
      </c>
      <c r="B984" s="64">
        <v>22934.400000000001</v>
      </c>
      <c r="C984" s="47">
        <f t="shared" si="75"/>
        <v>-6.9861338124979078E-3</v>
      </c>
      <c r="D984" s="65">
        <v>1166.0757952900001</v>
      </c>
      <c r="E984" s="47">
        <f t="shared" si="76"/>
        <v>1.9276177393989347E-2</v>
      </c>
      <c r="H984" s="65">
        <v>1293.7903271600001</v>
      </c>
      <c r="I984" s="47">
        <f t="shared" si="77"/>
        <v>-1.8702404060453426E-2</v>
      </c>
      <c r="L984" s="65">
        <v>585.59511673999998</v>
      </c>
      <c r="M984" s="47">
        <f t="shared" si="78"/>
        <v>1.4372294373860006E-2</v>
      </c>
      <c r="P984" s="65">
        <v>796.42519232999996</v>
      </c>
      <c r="Q984" s="47">
        <f t="shared" si="79"/>
        <v>-1.6510296090936905E-2</v>
      </c>
    </row>
    <row r="985" spans="1:17" ht="14.4" x14ac:dyDescent="0.3">
      <c r="A985" s="63">
        <v>45645</v>
      </c>
      <c r="B985" s="64">
        <v>22752.15</v>
      </c>
      <c r="C985" s="47">
        <f t="shared" si="75"/>
        <v>-7.9465780661364116E-3</v>
      </c>
      <c r="D985" s="65">
        <v>1180.90836584</v>
      </c>
      <c r="E985" s="47">
        <f t="shared" si="76"/>
        <v>1.2720074123750313E-2</v>
      </c>
      <c r="H985" s="65">
        <v>1279.1233998800001</v>
      </c>
      <c r="I985" s="47">
        <f t="shared" si="77"/>
        <v>-1.133640202133479E-2</v>
      </c>
      <c r="L985" s="65">
        <v>590.39343794000001</v>
      </c>
      <c r="M985" s="47">
        <f t="shared" si="78"/>
        <v>8.193922836502221E-3</v>
      </c>
      <c r="P985" s="65">
        <v>789.51820311999995</v>
      </c>
      <c r="Q985" s="47">
        <f t="shared" si="79"/>
        <v>-8.6724896154943831E-3</v>
      </c>
    </row>
    <row r="986" spans="1:17" ht="14.4" x14ac:dyDescent="0.3">
      <c r="A986" s="63">
        <v>45646</v>
      </c>
      <c r="B986" s="64">
        <v>22319.4</v>
      </c>
      <c r="C986" s="47">
        <f t="shared" si="75"/>
        <v>-1.902018051041332E-2</v>
      </c>
      <c r="D986" s="65">
        <v>1214.79735155</v>
      </c>
      <c r="E986" s="47">
        <f t="shared" si="76"/>
        <v>2.8697388121130096E-2</v>
      </c>
      <c r="H986" s="65">
        <v>1255.9909977899999</v>
      </c>
      <c r="I986" s="47">
        <f t="shared" si="77"/>
        <v>-1.8084574242149154E-2</v>
      </c>
      <c r="L986" s="65">
        <v>562.95303856999999</v>
      </c>
      <c r="M986" s="47">
        <f t="shared" si="78"/>
        <v>-4.6478157795494912E-2</v>
      </c>
      <c r="P986" s="65">
        <v>763.91300737999995</v>
      </c>
      <c r="Q986" s="47">
        <f t="shared" si="79"/>
        <v>-3.2431419109545501E-2</v>
      </c>
    </row>
    <row r="987" spans="1:17" ht="14.4" x14ac:dyDescent="0.3">
      <c r="A987" s="63">
        <v>45649</v>
      </c>
      <c r="B987" s="64">
        <v>22412.3</v>
      </c>
      <c r="C987" s="47">
        <f t="shared" si="75"/>
        <v>4.1622982696667421E-3</v>
      </c>
      <c r="D987" s="65">
        <v>1198.9333770799999</v>
      </c>
      <c r="E987" s="47">
        <f t="shared" si="76"/>
        <v>-1.3058947197867043E-2</v>
      </c>
      <c r="H987" s="65">
        <v>1252.1520034</v>
      </c>
      <c r="I987" s="47">
        <f t="shared" si="77"/>
        <v>-3.056546103240354E-3</v>
      </c>
      <c r="L987" s="65">
        <v>556.30536440000003</v>
      </c>
      <c r="M987" s="47">
        <f t="shared" si="78"/>
        <v>-1.1808576763145728E-2</v>
      </c>
      <c r="P987" s="65">
        <v>753.84853738000004</v>
      </c>
      <c r="Q987" s="47">
        <f t="shared" si="79"/>
        <v>-1.3174890207090617E-2</v>
      </c>
    </row>
    <row r="988" spans="1:17" ht="14.4" x14ac:dyDescent="0.3">
      <c r="A988" s="63">
        <v>45650</v>
      </c>
      <c r="B988" s="64">
        <v>22402.7</v>
      </c>
      <c r="C988" s="47">
        <f t="shared" si="75"/>
        <v>-4.2833622609006472E-4</v>
      </c>
      <c r="D988" s="65">
        <v>1160.427631</v>
      </c>
      <c r="E988" s="47">
        <f t="shared" si="76"/>
        <v>-3.2116668712468877E-2</v>
      </c>
      <c r="H988" s="65">
        <v>1240.09362358</v>
      </c>
      <c r="I988" s="47">
        <f t="shared" si="77"/>
        <v>-9.6301246072821867E-3</v>
      </c>
      <c r="L988" s="65">
        <v>546.20889686999999</v>
      </c>
      <c r="M988" s="47">
        <f t="shared" si="78"/>
        <v>-1.814914645104948E-2</v>
      </c>
      <c r="P988" s="65">
        <v>758.53542291999997</v>
      </c>
      <c r="Q988" s="47">
        <f t="shared" si="79"/>
        <v>6.2172774869195813E-3</v>
      </c>
    </row>
    <row r="989" spans="1:17" ht="14.4" x14ac:dyDescent="0.3">
      <c r="A989" s="63">
        <v>45652</v>
      </c>
      <c r="B989" s="64">
        <v>22430.35</v>
      </c>
      <c r="C989" s="47">
        <f t="shared" si="75"/>
        <v>1.2342262316595853E-3</v>
      </c>
      <c r="D989" s="65">
        <v>1152.2746286399999</v>
      </c>
      <c r="E989" s="47">
        <f t="shared" si="76"/>
        <v>-7.0258602451358509E-3</v>
      </c>
      <c r="H989" s="65">
        <v>1267.1634558200001</v>
      </c>
      <c r="I989" s="47">
        <f t="shared" si="77"/>
        <v>2.1828861728885318E-2</v>
      </c>
      <c r="L989" s="65">
        <v>541.41057566999996</v>
      </c>
      <c r="M989" s="47">
        <f t="shared" si="78"/>
        <v>-8.784773055686923E-3</v>
      </c>
      <c r="P989" s="65">
        <v>748.86563801</v>
      </c>
      <c r="Q989" s="47">
        <f t="shared" si="79"/>
        <v>-1.2747967488157541E-2</v>
      </c>
    </row>
    <row r="990" spans="1:17" ht="14.4" x14ac:dyDescent="0.3">
      <c r="A990" s="63">
        <v>45653</v>
      </c>
      <c r="B990" s="64">
        <v>22445.200000000001</v>
      </c>
      <c r="C990" s="47">
        <f t="shared" si="75"/>
        <v>6.6204941073144674E-4</v>
      </c>
      <c r="D990" s="65">
        <v>1134.9372200099999</v>
      </c>
      <c r="E990" s="47">
        <f t="shared" si="76"/>
        <v>-1.5046246961510357E-2</v>
      </c>
      <c r="H990" s="65">
        <v>1294.18407017</v>
      </c>
      <c r="I990" s="47">
        <f t="shared" si="77"/>
        <v>2.1323700763225206E-2</v>
      </c>
      <c r="L990" s="65">
        <v>548.55807496</v>
      </c>
      <c r="M990" s="47">
        <f t="shared" si="78"/>
        <v>1.3201624813395929E-2</v>
      </c>
      <c r="P990" s="65">
        <v>748.02693218000002</v>
      </c>
      <c r="Q990" s="47">
        <f t="shared" si="79"/>
        <v>-1.1199683727359799E-3</v>
      </c>
    </row>
    <row r="991" spans="1:17" ht="14.4" x14ac:dyDescent="0.3">
      <c r="A991" s="63">
        <v>45656</v>
      </c>
      <c r="B991" s="64">
        <v>22357.15</v>
      </c>
      <c r="C991" s="47">
        <f t="shared" si="75"/>
        <v>-3.9228877443728827E-3</v>
      </c>
      <c r="D991" s="65">
        <v>1177.96149752</v>
      </c>
      <c r="E991" s="47">
        <f t="shared" si="76"/>
        <v>3.7908949280578641E-2</v>
      </c>
      <c r="H991" s="65">
        <v>1255.7449084</v>
      </c>
      <c r="I991" s="47">
        <f t="shared" si="77"/>
        <v>-2.970146415490249E-2</v>
      </c>
      <c r="L991" s="65">
        <v>532.21379335999995</v>
      </c>
      <c r="M991" s="47">
        <f t="shared" si="78"/>
        <v>-2.9794988618464635E-2</v>
      </c>
      <c r="P991" s="65">
        <v>738.40648291000002</v>
      </c>
      <c r="Q991" s="47">
        <f t="shared" si="79"/>
        <v>-1.2861100123711888E-2</v>
      </c>
    </row>
    <row r="992" spans="1:17" ht="14.4" x14ac:dyDescent="0.3">
      <c r="A992" s="63">
        <v>45657</v>
      </c>
      <c r="B992" s="64">
        <v>22375.4</v>
      </c>
      <c r="C992" s="47">
        <f t="shared" si="75"/>
        <v>8.1629366891577959E-4</v>
      </c>
      <c r="D992" s="65">
        <v>1177.5685817399999</v>
      </c>
      <c r="E992" s="47">
        <f t="shared" si="76"/>
        <v>-3.3355570689475034E-4</v>
      </c>
      <c r="H992" s="65">
        <v>1276.90859542</v>
      </c>
      <c r="I992" s="47">
        <f t="shared" si="77"/>
        <v>1.6853492200868736E-2</v>
      </c>
      <c r="L992" s="65">
        <v>542.81008601999997</v>
      </c>
      <c r="M992" s="47">
        <f t="shared" si="78"/>
        <v>1.9909842232954889E-2</v>
      </c>
      <c r="P992" s="65">
        <v>757.35136762000002</v>
      </c>
      <c r="Q992" s="47">
        <f t="shared" si="79"/>
        <v>2.565644417873969E-2</v>
      </c>
    </row>
    <row r="993" spans="1:17" ht="14.4" x14ac:dyDescent="0.3">
      <c r="A993" s="63">
        <v>45658</v>
      </c>
      <c r="B993" s="64">
        <v>22481.8</v>
      </c>
      <c r="C993" s="47">
        <f t="shared" si="75"/>
        <v>4.7552222530098387E-3</v>
      </c>
      <c r="D993" s="65">
        <v>1179.33670274</v>
      </c>
      <c r="E993" s="47">
        <f t="shared" si="76"/>
        <v>1.5015015069335114E-3</v>
      </c>
      <c r="H993" s="65">
        <v>1293.1012768799999</v>
      </c>
      <c r="I993" s="47">
        <f t="shared" si="77"/>
        <v>1.2681159417423871E-2</v>
      </c>
      <c r="L993" s="65">
        <v>563.70277625999995</v>
      </c>
      <c r="M993" s="47">
        <f t="shared" si="78"/>
        <v>3.8489871095044759E-2</v>
      </c>
      <c r="P993" s="65">
        <v>755.37794212999995</v>
      </c>
      <c r="Q993" s="47">
        <f t="shared" si="79"/>
        <v>-2.605693439495127E-3</v>
      </c>
    </row>
    <row r="994" spans="1:17" ht="14.4" x14ac:dyDescent="0.3">
      <c r="A994" s="63">
        <v>45659</v>
      </c>
      <c r="B994" s="64">
        <v>22819.75</v>
      </c>
      <c r="C994" s="47">
        <f t="shared" si="75"/>
        <v>1.503215934667157E-2</v>
      </c>
      <c r="D994" s="65">
        <v>1190.4365734200001</v>
      </c>
      <c r="E994" s="47">
        <f t="shared" si="76"/>
        <v>9.4119606845197712E-3</v>
      </c>
      <c r="H994" s="65">
        <v>1256.1386514200001</v>
      </c>
      <c r="I994" s="47">
        <f t="shared" si="77"/>
        <v>-2.8584478355155096E-2</v>
      </c>
      <c r="L994" s="65">
        <v>558.80449003000001</v>
      </c>
      <c r="M994" s="47">
        <f t="shared" si="78"/>
        <v>-8.6894839555317072E-3</v>
      </c>
      <c r="P994" s="65">
        <v>773.13877155</v>
      </c>
      <c r="Q994" s="47">
        <f t="shared" si="79"/>
        <v>2.3512507354819467E-2</v>
      </c>
    </row>
    <row r="995" spans="1:17" ht="14.4" x14ac:dyDescent="0.3">
      <c r="A995" s="63">
        <v>45660</v>
      </c>
      <c r="B995" s="64">
        <v>22708.15</v>
      </c>
      <c r="C995" s="47">
        <f t="shared" si="75"/>
        <v>-4.8905005532488E-3</v>
      </c>
      <c r="D995" s="65">
        <v>1202.1258177699999</v>
      </c>
      <c r="E995" s="47">
        <f t="shared" si="76"/>
        <v>9.8192920236126469E-3</v>
      </c>
      <c r="H995" s="65">
        <v>1261.79870725</v>
      </c>
      <c r="I995" s="47">
        <f t="shared" si="77"/>
        <v>4.5059164636018778E-3</v>
      </c>
      <c r="L995" s="65">
        <v>556.30536440000003</v>
      </c>
      <c r="M995" s="47">
        <f t="shared" si="78"/>
        <v>-4.4722719208390993E-3</v>
      </c>
      <c r="P995" s="65">
        <v>767.36650198999996</v>
      </c>
      <c r="Q995" s="47">
        <f t="shared" si="79"/>
        <v>-7.4660200372925756E-3</v>
      </c>
    </row>
    <row r="996" spans="1:17" ht="14.4" x14ac:dyDescent="0.3">
      <c r="A996" s="63">
        <v>45663</v>
      </c>
      <c r="B996" s="64">
        <v>22225.4</v>
      </c>
      <c r="C996" s="47">
        <f t="shared" si="75"/>
        <v>-2.1258887227713408E-2</v>
      </c>
      <c r="D996" s="65">
        <v>1174.3270265900001</v>
      </c>
      <c r="E996" s="47">
        <f t="shared" si="76"/>
        <v>-2.3124693579552158E-2</v>
      </c>
      <c r="H996" s="65">
        <v>1218.3885399200001</v>
      </c>
      <c r="I996" s="47">
        <f t="shared" si="77"/>
        <v>-3.4403401335391548E-2</v>
      </c>
      <c r="L996" s="65">
        <v>517.51893468000003</v>
      </c>
      <c r="M996" s="47">
        <f t="shared" si="78"/>
        <v>-6.9721473496544228E-2</v>
      </c>
      <c r="P996" s="65">
        <v>749.35899439000002</v>
      </c>
      <c r="Q996" s="47">
        <f t="shared" si="79"/>
        <v>-2.3466632376187069E-2</v>
      </c>
    </row>
    <row r="997" spans="1:17" ht="14.4" x14ac:dyDescent="0.3">
      <c r="A997" s="63">
        <v>45664</v>
      </c>
      <c r="B997" s="64">
        <v>22341.65</v>
      </c>
      <c r="C997" s="47">
        <f t="shared" si="75"/>
        <v>5.2305020382086287E-3</v>
      </c>
      <c r="D997" s="65">
        <v>1107.1384288300001</v>
      </c>
      <c r="E997" s="47">
        <f t="shared" si="76"/>
        <v>-5.7214554582041499E-2</v>
      </c>
      <c r="H997" s="65">
        <v>1239.60144481</v>
      </c>
      <c r="I997" s="47">
        <f t="shared" si="77"/>
        <v>1.7410624111248385E-2</v>
      </c>
      <c r="L997" s="65">
        <v>523.16695860000004</v>
      </c>
      <c r="M997" s="47">
        <f t="shared" si="78"/>
        <v>1.0913656566966745E-2</v>
      </c>
      <c r="P997" s="65">
        <v>771.16534606000005</v>
      </c>
      <c r="Q997" s="47">
        <f t="shared" si="79"/>
        <v>2.9100006583294702E-2</v>
      </c>
    </row>
    <row r="998" spans="1:17" ht="14.4" x14ac:dyDescent="0.3">
      <c r="A998" s="63">
        <v>45665</v>
      </c>
      <c r="B998" s="64">
        <v>22231.8</v>
      </c>
      <c r="C998" s="47">
        <f t="shared" si="75"/>
        <v>-4.9168257492173684E-3</v>
      </c>
      <c r="D998" s="65">
        <v>1030.8145392700001</v>
      </c>
      <c r="E998" s="47">
        <f t="shared" si="76"/>
        <v>-6.8937982435184231E-2</v>
      </c>
      <c r="H998" s="65">
        <v>1225.91887507</v>
      </c>
      <c r="I998" s="47">
        <f t="shared" si="77"/>
        <v>-1.1037878180351068E-2</v>
      </c>
      <c r="L998" s="65">
        <v>501.82442574999999</v>
      </c>
      <c r="M998" s="47">
        <f t="shared" si="78"/>
        <v>-4.0794879147400431E-2</v>
      </c>
      <c r="P998" s="65">
        <v>757.45003889999998</v>
      </c>
      <c r="Q998" s="47">
        <f t="shared" si="79"/>
        <v>-1.7785170495631886E-2</v>
      </c>
    </row>
    <row r="999" spans="1:17" ht="14.4" x14ac:dyDescent="0.3">
      <c r="A999" s="63">
        <v>45666</v>
      </c>
      <c r="B999" s="64">
        <v>22046.55</v>
      </c>
      <c r="C999" s="47">
        <f t="shared" si="75"/>
        <v>-8.3326586241330158E-3</v>
      </c>
      <c r="D999" s="65">
        <v>994.51894443000003</v>
      </c>
      <c r="E999" s="47">
        <f t="shared" si="76"/>
        <v>-3.5210596530491078E-2</v>
      </c>
      <c r="H999" s="65">
        <v>1227.4938471200001</v>
      </c>
      <c r="I999" s="47">
        <f t="shared" si="77"/>
        <v>1.2847277923753175E-3</v>
      </c>
      <c r="L999" s="65">
        <v>484.03065128999998</v>
      </c>
      <c r="M999" s="47">
        <f t="shared" si="78"/>
        <v>-3.5458167332939938E-2</v>
      </c>
      <c r="P999" s="65">
        <v>756.26598360000003</v>
      </c>
      <c r="Q999" s="47">
        <f t="shared" si="79"/>
        <v>-1.5632124089920429E-3</v>
      </c>
    </row>
    <row r="1000" spans="1:17" ht="14.4" x14ac:dyDescent="0.3">
      <c r="A1000" s="63">
        <v>45667</v>
      </c>
      <c r="B1000" s="64">
        <v>21799</v>
      </c>
      <c r="C1000" s="47">
        <f t="shared" si="75"/>
        <v>-1.1228514211974128E-2</v>
      </c>
      <c r="D1000" s="65">
        <v>958.81272325999998</v>
      </c>
      <c r="E1000" s="47">
        <f t="shared" si="76"/>
        <v>-3.5903007549509036E-2</v>
      </c>
      <c r="H1000" s="65">
        <v>1184.8219479500001</v>
      </c>
      <c r="I1000" s="47">
        <f t="shared" si="77"/>
        <v>-3.4763432232364E-2</v>
      </c>
      <c r="L1000" s="65">
        <v>466.28685933999998</v>
      </c>
      <c r="M1000" s="47">
        <f t="shared" si="78"/>
        <v>-3.665840562516165E-2</v>
      </c>
      <c r="P1000" s="65">
        <v>750.14836458000002</v>
      </c>
      <c r="Q1000" s="47">
        <f t="shared" si="79"/>
        <v>-8.0892426112817439E-3</v>
      </c>
    </row>
    <row r="1001" spans="1:17" ht="14.4" x14ac:dyDescent="0.3">
      <c r="A1001" s="63">
        <v>45670</v>
      </c>
      <c r="B1001" s="64">
        <v>21243.45</v>
      </c>
      <c r="C1001" s="47">
        <f t="shared" si="75"/>
        <v>-2.5485113996054798E-2</v>
      </c>
      <c r="D1001" s="65">
        <v>922.66447183000002</v>
      </c>
      <c r="E1001" s="47">
        <f t="shared" si="76"/>
        <v>-3.7701055224939606E-2</v>
      </c>
      <c r="H1001" s="65">
        <v>1153.0271995400001</v>
      </c>
      <c r="I1001" s="47">
        <f t="shared" si="77"/>
        <v>-2.6835043413073079E-2</v>
      </c>
      <c r="L1001" s="65">
        <v>433.24841857000001</v>
      </c>
      <c r="M1001" s="47">
        <f t="shared" si="78"/>
        <v>-7.0854325203939528E-2</v>
      </c>
      <c r="P1001" s="65">
        <v>723.26044227</v>
      </c>
      <c r="Q1001" s="47">
        <f t="shared" si="79"/>
        <v>-3.5843472544333621E-2</v>
      </c>
    </row>
    <row r="1002" spans="1:17" ht="14.4" x14ac:dyDescent="0.3">
      <c r="A1002" s="63">
        <v>45671</v>
      </c>
      <c r="B1002" s="64">
        <v>21481.05</v>
      </c>
      <c r="C1002" s="47">
        <f t="shared" si="75"/>
        <v>1.118462396644615E-2</v>
      </c>
      <c r="D1002" s="65">
        <v>933.46965567999996</v>
      </c>
      <c r="E1002" s="47">
        <f t="shared" si="76"/>
        <v>1.1710848504407068E-2</v>
      </c>
      <c r="H1002" s="65">
        <v>1147.71166885</v>
      </c>
      <c r="I1002" s="47">
        <f t="shared" si="77"/>
        <v>-4.6100653064564678E-3</v>
      </c>
      <c r="L1002" s="65">
        <v>446.69371443</v>
      </c>
      <c r="M1002" s="47">
        <f t="shared" si="78"/>
        <v>3.1033687103528607E-2</v>
      </c>
      <c r="P1002" s="65">
        <v>740.37990839999998</v>
      </c>
      <c r="Q1002" s="47">
        <f t="shared" si="79"/>
        <v>2.3669849931608811E-2</v>
      </c>
    </row>
    <row r="1003" spans="1:17" ht="14.4" x14ac:dyDescent="0.3">
      <c r="A1003" s="63">
        <v>45672</v>
      </c>
      <c r="B1003" s="64">
        <v>21551.200000000001</v>
      </c>
      <c r="C1003" s="47">
        <f t="shared" si="75"/>
        <v>3.2656690431800417E-3</v>
      </c>
      <c r="D1003" s="65">
        <v>933.07673991000001</v>
      </c>
      <c r="E1003" s="47">
        <f t="shared" si="76"/>
        <v>-4.2091970275537349E-4</v>
      </c>
      <c r="H1003" s="65">
        <v>1159.3763056499999</v>
      </c>
      <c r="I1003" s="47">
        <f t="shared" si="77"/>
        <v>1.0163386080833225E-2</v>
      </c>
      <c r="L1003" s="65">
        <v>449.74264770000002</v>
      </c>
      <c r="M1003" s="47">
        <f t="shared" si="78"/>
        <v>6.8255566879658058E-3</v>
      </c>
      <c r="P1003" s="65">
        <v>730.31543839999995</v>
      </c>
      <c r="Q1003" s="47">
        <f t="shared" si="79"/>
        <v>-1.3593656291605583E-2</v>
      </c>
    </row>
    <row r="1004" spans="1:17" ht="14.4" x14ac:dyDescent="0.3">
      <c r="A1004" s="63">
        <v>45673</v>
      </c>
      <c r="B1004" s="64">
        <v>21714.55</v>
      </c>
      <c r="C1004" s="47">
        <f t="shared" si="75"/>
        <v>7.5796243364638638E-3</v>
      </c>
      <c r="D1004" s="65">
        <v>972.41743200999997</v>
      </c>
      <c r="E1004" s="47">
        <f t="shared" si="76"/>
        <v>4.2162332868564079E-2</v>
      </c>
      <c r="H1004" s="65">
        <v>1184.6250764399999</v>
      </c>
      <c r="I1004" s="47">
        <f t="shared" si="77"/>
        <v>2.1777890980654746E-2</v>
      </c>
      <c r="L1004" s="65">
        <v>474.63393894000001</v>
      </c>
      <c r="M1004" s="47">
        <f t="shared" si="78"/>
        <v>5.5345632368410946E-2</v>
      </c>
      <c r="P1004" s="65">
        <v>721.68170187999999</v>
      </c>
      <c r="Q1004" s="47">
        <f t="shared" si="79"/>
        <v>-1.1821927986234382E-2</v>
      </c>
    </row>
    <row r="1005" spans="1:17" ht="14.4" x14ac:dyDescent="0.3">
      <c r="A1005" s="63">
        <v>45674</v>
      </c>
      <c r="B1005" s="64">
        <v>21680.25</v>
      </c>
      <c r="C1005" s="47">
        <f t="shared" si="75"/>
        <v>-1.5795860379330673E-3</v>
      </c>
      <c r="D1005" s="65">
        <v>950.56149195</v>
      </c>
      <c r="E1005" s="47">
        <f t="shared" si="76"/>
        <v>-2.2475882620515586E-2</v>
      </c>
      <c r="H1005" s="65">
        <v>1160.16379168</v>
      </c>
      <c r="I1005" s="47">
        <f t="shared" si="77"/>
        <v>-2.0648967548036579E-2</v>
      </c>
      <c r="L1005" s="65">
        <v>479.33229511000002</v>
      </c>
      <c r="M1005" s="47">
        <f t="shared" si="78"/>
        <v>9.8989047864821433E-3</v>
      </c>
      <c r="P1005" s="65">
        <v>711.07453986999997</v>
      </c>
      <c r="Q1005" s="47">
        <f t="shared" si="79"/>
        <v>-1.4697839757289222E-2</v>
      </c>
    </row>
    <row r="1006" spans="1:17" ht="14.4" x14ac:dyDescent="0.3">
      <c r="A1006" s="63">
        <v>45677</v>
      </c>
      <c r="B1006" s="64">
        <v>21809</v>
      </c>
      <c r="C1006" s="47">
        <f t="shared" si="75"/>
        <v>5.9385846565422895E-3</v>
      </c>
      <c r="D1006" s="65">
        <v>952.77164319999997</v>
      </c>
      <c r="E1006" s="47">
        <f t="shared" si="76"/>
        <v>2.3251007627775877E-3</v>
      </c>
      <c r="H1006" s="65">
        <v>1171.58233909</v>
      </c>
      <c r="I1006" s="47">
        <f t="shared" si="77"/>
        <v>9.842185639550971E-3</v>
      </c>
      <c r="L1006" s="65">
        <v>494.02715380000001</v>
      </c>
      <c r="M1006" s="47">
        <f t="shared" si="78"/>
        <v>3.0656934322832896E-2</v>
      </c>
      <c r="P1006" s="65">
        <v>694.89245085000005</v>
      </c>
      <c r="Q1006" s="47">
        <f t="shared" si="79"/>
        <v>-2.2757233050361148E-2</v>
      </c>
    </row>
    <row r="1007" spans="1:17" ht="14.4" x14ac:dyDescent="0.3">
      <c r="A1007" s="63">
        <v>45678</v>
      </c>
      <c r="B1007" s="64">
        <v>21433.200000000001</v>
      </c>
      <c r="C1007" s="47">
        <f t="shared" si="75"/>
        <v>-1.7231418221834938E-2</v>
      </c>
      <c r="D1007" s="65">
        <v>921.87864028000001</v>
      </c>
      <c r="E1007" s="47">
        <f t="shared" si="76"/>
        <v>-3.2424351774620441E-2</v>
      </c>
      <c r="H1007" s="65">
        <v>1108.09127803</v>
      </c>
      <c r="I1007" s="47">
        <f t="shared" si="77"/>
        <v>-5.4192572678515516E-2</v>
      </c>
      <c r="L1007" s="65">
        <v>478.73250496000003</v>
      </c>
      <c r="M1007" s="47">
        <f t="shared" si="78"/>
        <v>-3.0959125874671645E-2</v>
      </c>
      <c r="P1007" s="65">
        <v>671.55669441999999</v>
      </c>
      <c r="Q1007" s="47">
        <f t="shared" si="79"/>
        <v>-3.3581824642727853E-2</v>
      </c>
    </row>
    <row r="1008" spans="1:17" ht="14.4" x14ac:dyDescent="0.3">
      <c r="A1008" s="63">
        <v>45679</v>
      </c>
      <c r="B1008" s="64">
        <v>21396.55</v>
      </c>
      <c r="C1008" s="47">
        <f t="shared" si="75"/>
        <v>-1.7099639811134493E-3</v>
      </c>
      <c r="D1008" s="65">
        <v>873.45177083999999</v>
      </c>
      <c r="E1008" s="47">
        <f t="shared" si="76"/>
        <v>-5.2530633994612774E-2</v>
      </c>
      <c r="H1008" s="65">
        <v>1093.91652952</v>
      </c>
      <c r="I1008" s="47">
        <f t="shared" si="77"/>
        <v>-1.2792040503378344E-2</v>
      </c>
      <c r="L1008" s="65">
        <v>465.28720908999998</v>
      </c>
      <c r="M1008" s="47">
        <f t="shared" si="78"/>
        <v>-2.808519524096964E-2</v>
      </c>
      <c r="P1008" s="65">
        <v>648.36894490999998</v>
      </c>
      <c r="Q1008" s="47">
        <f t="shared" si="79"/>
        <v>-3.4528357326593873E-2</v>
      </c>
    </row>
    <row r="1009" spans="1:17" ht="14.4" x14ac:dyDescent="0.3">
      <c r="A1009" s="63">
        <v>45680</v>
      </c>
      <c r="B1009" s="64">
        <v>21538.05</v>
      </c>
      <c r="C1009" s="47">
        <f t="shared" si="75"/>
        <v>6.6132156819673771E-3</v>
      </c>
      <c r="D1009" s="65">
        <v>858.71742922999999</v>
      </c>
      <c r="E1009" s="47">
        <f t="shared" si="76"/>
        <v>-1.6869095812617085E-2</v>
      </c>
      <c r="H1009" s="65">
        <v>1088.79787033</v>
      </c>
      <c r="I1009" s="47">
        <f t="shared" si="77"/>
        <v>-4.6792045388015513E-3</v>
      </c>
      <c r="L1009" s="65">
        <v>458.48958739</v>
      </c>
      <c r="M1009" s="47">
        <f t="shared" si="78"/>
        <v>-1.4609517663927707E-2</v>
      </c>
      <c r="P1009" s="65">
        <v>675.65155231000006</v>
      </c>
      <c r="Q1009" s="47">
        <f t="shared" si="79"/>
        <v>4.2078831218214985E-2</v>
      </c>
    </row>
    <row r="1010" spans="1:17" ht="14.4" x14ac:dyDescent="0.3">
      <c r="A1010" s="63">
        <v>45681</v>
      </c>
      <c r="B1010" s="64">
        <v>21318.9</v>
      </c>
      <c r="C1010" s="47">
        <f t="shared" si="75"/>
        <v>-1.0175015844052671E-2</v>
      </c>
      <c r="D1010" s="65">
        <v>819.13116476000005</v>
      </c>
      <c r="E1010" s="47">
        <f t="shared" si="76"/>
        <v>-4.6099290782413038E-2</v>
      </c>
      <c r="H1010" s="65">
        <v>1038.5956360099999</v>
      </c>
      <c r="I1010" s="47">
        <f t="shared" si="77"/>
        <v>-4.6107946835700964E-2</v>
      </c>
      <c r="L1010" s="65">
        <v>439.59619765999997</v>
      </c>
      <c r="M1010" s="47">
        <f t="shared" si="78"/>
        <v>-4.1207892719118511E-2</v>
      </c>
      <c r="P1010" s="65">
        <v>657.24935961999995</v>
      </c>
      <c r="Q1010" s="47">
        <f t="shared" si="79"/>
        <v>-2.7236217584470035E-2</v>
      </c>
    </row>
    <row r="1011" spans="1:17" ht="14.4" x14ac:dyDescent="0.3">
      <c r="A1011" s="63">
        <v>45684</v>
      </c>
      <c r="B1011" s="64">
        <v>20910.95</v>
      </c>
      <c r="C1011" s="47">
        <f t="shared" si="75"/>
        <v>-1.9135602681189079E-2</v>
      </c>
      <c r="D1011" s="65">
        <v>781.50947917999997</v>
      </c>
      <c r="E1011" s="47">
        <f t="shared" si="76"/>
        <v>-4.592876842992899E-2</v>
      </c>
      <c r="H1011" s="65">
        <v>1004.88139041</v>
      </c>
      <c r="I1011" s="47">
        <f t="shared" si="77"/>
        <v>-3.246137806771543E-2</v>
      </c>
      <c r="L1011" s="65">
        <v>415.05478400999999</v>
      </c>
      <c r="M1011" s="47">
        <f t="shared" si="78"/>
        <v>-5.5827174531161927E-2</v>
      </c>
      <c r="P1011" s="65">
        <v>664.40302701999997</v>
      </c>
      <c r="Q1011" s="47">
        <f t="shared" si="79"/>
        <v>1.08842516090637E-2</v>
      </c>
    </row>
    <row r="1012" spans="1:17" ht="14.4" x14ac:dyDescent="0.3">
      <c r="A1012" s="63">
        <v>45685</v>
      </c>
      <c r="B1012" s="64">
        <v>20924.75</v>
      </c>
      <c r="C1012" s="47">
        <f t="shared" si="75"/>
        <v>6.599413226084927E-4</v>
      </c>
      <c r="D1012" s="65">
        <v>762.40394954999999</v>
      </c>
      <c r="E1012" s="47">
        <f t="shared" si="76"/>
        <v>-2.4446958276240549E-2</v>
      </c>
      <c r="H1012" s="65">
        <v>1000.0580384800001</v>
      </c>
      <c r="I1012" s="47">
        <f t="shared" si="77"/>
        <v>-4.7999216385448129E-3</v>
      </c>
      <c r="L1012" s="65">
        <v>397.26100954999998</v>
      </c>
      <c r="M1012" s="47">
        <f t="shared" si="78"/>
        <v>-4.2870905590071007E-2</v>
      </c>
      <c r="P1012" s="65">
        <v>655.96663305000004</v>
      </c>
      <c r="Q1012" s="47">
        <f t="shared" si="79"/>
        <v>-1.2697705499385092E-2</v>
      </c>
    </row>
    <row r="1013" spans="1:17" ht="14.4" x14ac:dyDescent="0.3">
      <c r="A1013" s="63">
        <v>45686</v>
      </c>
      <c r="B1013" s="64">
        <v>21245.5</v>
      </c>
      <c r="C1013" s="47">
        <f t="shared" si="75"/>
        <v>1.5328737499850753E-2</v>
      </c>
      <c r="D1013" s="65">
        <v>797.22611023000002</v>
      </c>
      <c r="E1013" s="47">
        <f t="shared" si="76"/>
        <v>4.5674160922898333E-2</v>
      </c>
      <c r="H1013" s="65">
        <v>1031.55747963</v>
      </c>
      <c r="I1013" s="47">
        <f t="shared" si="77"/>
        <v>3.14976130764133E-2</v>
      </c>
      <c r="L1013" s="65">
        <v>457.19004206</v>
      </c>
      <c r="M1013" s="47">
        <f t="shared" si="78"/>
        <v>0.15085556112814857</v>
      </c>
      <c r="P1013" s="65">
        <v>671.50735878</v>
      </c>
      <c r="Q1013" s="47">
        <f t="shared" si="79"/>
        <v>2.3691335728071028E-2</v>
      </c>
    </row>
    <row r="1014" spans="1:17" ht="14.4" x14ac:dyDescent="0.3">
      <c r="A1014" s="63">
        <v>45687</v>
      </c>
      <c r="B1014" s="64">
        <v>21297.5</v>
      </c>
      <c r="C1014" s="47">
        <f t="shared" si="75"/>
        <v>2.4475771339813601E-3</v>
      </c>
      <c r="D1014" s="65">
        <v>798.1592852</v>
      </c>
      <c r="E1014" s="47">
        <f t="shared" si="76"/>
        <v>1.1705273548188178E-3</v>
      </c>
      <c r="H1014" s="65">
        <v>1011.6734574</v>
      </c>
      <c r="I1014" s="47">
        <f t="shared" si="77"/>
        <v>-1.927572881070283E-2</v>
      </c>
      <c r="L1014" s="65">
        <v>424.50147887000003</v>
      </c>
      <c r="M1014" s="47">
        <f t="shared" si="78"/>
        <v>-7.1498852080662867E-2</v>
      </c>
      <c r="P1014" s="65">
        <v>682.75588407999999</v>
      </c>
      <c r="Q1014" s="47">
        <f t="shared" si="79"/>
        <v>1.6751157158480634E-2</v>
      </c>
    </row>
    <row r="1015" spans="1:17" ht="14.4" x14ac:dyDescent="0.3">
      <c r="A1015" s="63">
        <v>45688</v>
      </c>
      <c r="B1015" s="64">
        <v>21580.9</v>
      </c>
      <c r="C1015" s="47">
        <f t="shared" si="75"/>
        <v>1.3306726141566028E-2</v>
      </c>
      <c r="D1015" s="65">
        <v>825.90896190000001</v>
      </c>
      <c r="E1015" s="47">
        <f t="shared" si="76"/>
        <v>3.4767091249269466E-2</v>
      </c>
      <c r="H1015" s="65">
        <v>1042.09010526</v>
      </c>
      <c r="I1015" s="47">
        <f t="shared" si="77"/>
        <v>3.0065677455026529E-2</v>
      </c>
      <c r="L1015" s="65">
        <v>436.04743926999998</v>
      </c>
      <c r="M1015" s="47">
        <f t="shared" si="78"/>
        <v>2.7198869673516146E-2</v>
      </c>
      <c r="P1015" s="65">
        <v>691.29094932999999</v>
      </c>
      <c r="Q1015" s="47">
        <f t="shared" si="79"/>
        <v>1.250090324963038E-2</v>
      </c>
    </row>
    <row r="1016" spans="1:17" ht="14.4" x14ac:dyDescent="0.3">
      <c r="A1016" s="63">
        <v>45689</v>
      </c>
      <c r="B1016" s="64">
        <v>21581.75</v>
      </c>
      <c r="C1016" s="47">
        <f t="shared" si="75"/>
        <v>3.9386679888231413E-5</v>
      </c>
      <c r="D1016" s="65">
        <v>812.00956631999998</v>
      </c>
      <c r="E1016" s="47">
        <f t="shared" si="76"/>
        <v>-1.6829210265529193E-2</v>
      </c>
      <c r="H1016" s="65">
        <v>1012.21485405</v>
      </c>
      <c r="I1016" s="47">
        <f t="shared" si="77"/>
        <v>-2.8668587350751396E-2</v>
      </c>
      <c r="L1016" s="65">
        <v>433.74824368999998</v>
      </c>
      <c r="M1016" s="47">
        <f t="shared" si="78"/>
        <v>-5.2728106461287227E-3</v>
      </c>
      <c r="P1016" s="65">
        <v>703.23017354000001</v>
      </c>
      <c r="Q1016" s="47">
        <f t="shared" si="79"/>
        <v>1.7270910636934422E-2</v>
      </c>
    </row>
    <row r="1017" spans="1:17" ht="14.4" x14ac:dyDescent="0.3">
      <c r="A1017" s="63">
        <v>45691</v>
      </c>
      <c r="B1017" s="64">
        <v>21402.55</v>
      </c>
      <c r="C1017" s="47">
        <f t="shared" si="75"/>
        <v>-8.3033118259641103E-3</v>
      </c>
      <c r="D1017" s="65">
        <v>780.47807525999997</v>
      </c>
      <c r="E1017" s="47">
        <f t="shared" si="76"/>
        <v>-3.8831428061740336E-2</v>
      </c>
      <c r="H1017" s="65">
        <v>983.96379277000005</v>
      </c>
      <c r="I1017" s="47">
        <f t="shared" si="77"/>
        <v>-2.7910142957262352E-2</v>
      </c>
      <c r="L1017" s="65">
        <v>420.70280792</v>
      </c>
      <c r="M1017" s="47">
        <f t="shared" si="78"/>
        <v>-3.0076054392795593E-2</v>
      </c>
      <c r="P1017" s="65">
        <v>709.74247765999996</v>
      </c>
      <c r="Q1017" s="47">
        <f t="shared" si="79"/>
        <v>9.260558441651634E-3</v>
      </c>
    </row>
    <row r="1018" spans="1:17" ht="14.4" x14ac:dyDescent="0.3">
      <c r="A1018" s="63">
        <v>45692</v>
      </c>
      <c r="B1018" s="64">
        <v>21727.45</v>
      </c>
      <c r="C1018" s="47">
        <f t="shared" si="75"/>
        <v>1.5180434107150864E-2</v>
      </c>
      <c r="D1018" s="65">
        <v>798.50308649999999</v>
      </c>
      <c r="E1018" s="47">
        <f t="shared" si="76"/>
        <v>2.309483355313402E-2</v>
      </c>
      <c r="H1018" s="65">
        <v>1003.45407198</v>
      </c>
      <c r="I1018" s="47">
        <f t="shared" si="77"/>
        <v>1.9807923170762187E-2</v>
      </c>
      <c r="L1018" s="65">
        <v>451.29210559000001</v>
      </c>
      <c r="M1018" s="47">
        <f t="shared" si="78"/>
        <v>7.2709991695175002E-2</v>
      </c>
      <c r="P1018" s="65">
        <v>717.88285781000002</v>
      </c>
      <c r="Q1018" s="47">
        <f t="shared" si="79"/>
        <v>1.1469484223120885E-2</v>
      </c>
    </row>
    <row r="1019" spans="1:17" ht="14.4" x14ac:dyDescent="0.3">
      <c r="A1019" s="63">
        <v>45693</v>
      </c>
      <c r="B1019" s="64">
        <v>21784.25</v>
      </c>
      <c r="C1019" s="47">
        <f t="shared" si="75"/>
        <v>2.6142046121380158E-3</v>
      </c>
      <c r="D1019" s="65">
        <v>829.88723414000003</v>
      </c>
      <c r="E1019" s="47">
        <f t="shared" si="76"/>
        <v>3.9303727400182176E-2</v>
      </c>
      <c r="H1019" s="65">
        <v>1024.07636235</v>
      </c>
      <c r="I1019" s="47">
        <f t="shared" si="77"/>
        <v>2.0551304684337302E-2</v>
      </c>
      <c r="L1019" s="65">
        <v>466.78668447000001</v>
      </c>
      <c r="M1019" s="47">
        <f t="shared" si="78"/>
        <v>3.433381326212892E-2</v>
      </c>
      <c r="P1019" s="65">
        <v>720.44831094999995</v>
      </c>
      <c r="Q1019" s="47">
        <f t="shared" si="79"/>
        <v>3.5736375539405785E-3</v>
      </c>
    </row>
    <row r="1020" spans="1:17" ht="14.4" x14ac:dyDescent="0.3">
      <c r="A1020" s="63">
        <v>45694</v>
      </c>
      <c r="B1020" s="64">
        <v>21672.45</v>
      </c>
      <c r="C1020" s="47">
        <f t="shared" si="75"/>
        <v>-5.1321482263562146E-3</v>
      </c>
      <c r="D1020" s="65">
        <v>800.12386407999998</v>
      </c>
      <c r="E1020" s="47">
        <f t="shared" si="76"/>
        <v>-3.586435462023152E-2</v>
      </c>
      <c r="H1020" s="65">
        <v>1035.002731</v>
      </c>
      <c r="I1020" s="47">
        <f t="shared" si="77"/>
        <v>1.0669486233357395E-2</v>
      </c>
      <c r="L1020" s="65">
        <v>481.68147320000003</v>
      </c>
      <c r="M1020" s="47">
        <f t="shared" si="78"/>
        <v>3.1909197981754511E-2</v>
      </c>
      <c r="P1020" s="65">
        <v>724.34582628999999</v>
      </c>
      <c r="Q1020" s="47">
        <f t="shared" si="79"/>
        <v>5.4098472864219094E-3</v>
      </c>
    </row>
    <row r="1021" spans="1:17" ht="14.4" x14ac:dyDescent="0.3">
      <c r="A1021" s="63">
        <v>45695</v>
      </c>
      <c r="B1021" s="64">
        <v>21646.15</v>
      </c>
      <c r="C1021" s="47">
        <f t="shared" si="75"/>
        <v>-1.2135222367567478E-3</v>
      </c>
      <c r="D1021" s="65">
        <v>811.51842160000001</v>
      </c>
      <c r="E1021" s="47">
        <f t="shared" si="76"/>
        <v>1.4240991965789984E-2</v>
      </c>
      <c r="H1021" s="65">
        <v>1024.3716696199999</v>
      </c>
      <c r="I1021" s="47">
        <f t="shared" si="77"/>
        <v>-1.0271529785944256E-2</v>
      </c>
      <c r="L1021" s="65">
        <v>479.28231260000001</v>
      </c>
      <c r="M1021" s="47">
        <f t="shared" si="78"/>
        <v>-4.9808031520528484E-3</v>
      </c>
      <c r="P1021" s="65">
        <v>716.84680943000001</v>
      </c>
      <c r="Q1021" s="47">
        <f t="shared" si="79"/>
        <v>-1.0352812962848068E-2</v>
      </c>
    </row>
    <row r="1022" spans="1:17" ht="14.4" x14ac:dyDescent="0.3">
      <c r="A1022" s="63">
        <v>45698</v>
      </c>
      <c r="B1022" s="64">
        <v>21371.3</v>
      </c>
      <c r="C1022" s="47">
        <f t="shared" si="75"/>
        <v>-1.2697408084116679E-2</v>
      </c>
      <c r="D1022" s="65">
        <v>810.24144532000003</v>
      </c>
      <c r="E1022" s="47">
        <f t="shared" si="76"/>
        <v>-1.5735641311533932E-3</v>
      </c>
      <c r="H1022" s="65">
        <v>1019.44988194</v>
      </c>
      <c r="I1022" s="47">
        <f t="shared" si="77"/>
        <v>-4.8046893778561639E-3</v>
      </c>
      <c r="L1022" s="65">
        <v>461.13866055</v>
      </c>
      <c r="M1022" s="47">
        <f t="shared" si="78"/>
        <v>-3.7855876532506993E-2</v>
      </c>
      <c r="P1022" s="65">
        <v>707.17702453000004</v>
      </c>
      <c r="Q1022" s="47">
        <f t="shared" si="79"/>
        <v>-1.3489332410768329E-2</v>
      </c>
    </row>
    <row r="1023" spans="1:17" ht="14.4" x14ac:dyDescent="0.3">
      <c r="A1023" s="63">
        <v>45699</v>
      </c>
      <c r="B1023" s="64">
        <v>20950.45</v>
      </c>
      <c r="C1023" s="47">
        <f t="shared" si="75"/>
        <v>-1.969229761408986E-2</v>
      </c>
      <c r="D1023" s="65">
        <v>766.92248098000005</v>
      </c>
      <c r="E1023" s="47">
        <f t="shared" si="76"/>
        <v>-5.3464266226089463E-2</v>
      </c>
      <c r="H1023" s="65">
        <v>975.79362521999997</v>
      </c>
      <c r="I1023" s="47">
        <f t="shared" si="77"/>
        <v>-4.2823347663666134E-2</v>
      </c>
      <c r="L1023" s="65">
        <v>434.54796389000001</v>
      </c>
      <c r="M1023" s="47">
        <f t="shared" si="78"/>
        <v>-5.7663125941956994E-2</v>
      </c>
      <c r="P1023" s="65">
        <v>696.96454760999995</v>
      </c>
      <c r="Q1023" s="47">
        <f t="shared" si="79"/>
        <v>-1.4441188791148085E-2</v>
      </c>
    </row>
    <row r="1024" spans="1:17" ht="14.4" x14ac:dyDescent="0.3">
      <c r="A1024" s="63">
        <v>45700</v>
      </c>
      <c r="B1024" s="64">
        <v>20907.849999999999</v>
      </c>
      <c r="C1024" s="47">
        <f t="shared" si="75"/>
        <v>-2.0333692116399904E-3</v>
      </c>
      <c r="D1024" s="65">
        <v>757.34515893000003</v>
      </c>
      <c r="E1024" s="47">
        <f t="shared" si="76"/>
        <v>-1.2487992316722485E-2</v>
      </c>
      <c r="H1024" s="65">
        <v>950.00345778999997</v>
      </c>
      <c r="I1024" s="47">
        <f t="shared" si="77"/>
        <v>-2.6429940474539837E-2</v>
      </c>
      <c r="L1024" s="65">
        <v>447.54341714999998</v>
      </c>
      <c r="M1024" s="47">
        <f t="shared" si="78"/>
        <v>2.9905682087811192E-2</v>
      </c>
      <c r="P1024" s="65">
        <v>677.92099163</v>
      </c>
      <c r="Q1024" s="47">
        <f t="shared" si="79"/>
        <v>-2.7323564800108224E-2</v>
      </c>
    </row>
    <row r="1025" spans="1:17" ht="14.4" x14ac:dyDescent="0.3">
      <c r="A1025" s="63">
        <v>45701</v>
      </c>
      <c r="B1025" s="64">
        <v>20904.349999999999</v>
      </c>
      <c r="C1025" s="47">
        <f t="shared" si="75"/>
        <v>-1.6740123924741113E-4</v>
      </c>
      <c r="D1025" s="65">
        <v>762.50217849000001</v>
      </c>
      <c r="E1025" s="47">
        <f t="shared" si="76"/>
        <v>6.8093385151968278E-3</v>
      </c>
      <c r="H1025" s="65">
        <v>966.88518953000005</v>
      </c>
      <c r="I1025" s="47">
        <f t="shared" si="77"/>
        <v>1.7770179257317942E-2</v>
      </c>
      <c r="L1025" s="65">
        <v>437.59689716000003</v>
      </c>
      <c r="M1025" s="47">
        <f t="shared" si="78"/>
        <v>-2.2224704037298482E-2</v>
      </c>
      <c r="P1025" s="65">
        <v>688.67616054999996</v>
      </c>
      <c r="Q1025" s="47">
        <f t="shared" si="79"/>
        <v>1.5864929767317237E-2</v>
      </c>
    </row>
    <row r="1026" spans="1:17" ht="14.4" x14ac:dyDescent="0.3">
      <c r="A1026" s="63">
        <v>45702</v>
      </c>
      <c r="B1026" s="64">
        <v>20633.099999999999</v>
      </c>
      <c r="C1026" s="47">
        <f t="shared" si="75"/>
        <v>-1.2975768201355264E-2</v>
      </c>
      <c r="D1026" s="65">
        <v>734.35958601000004</v>
      </c>
      <c r="E1026" s="47">
        <f t="shared" si="76"/>
        <v>-3.6908212558462883E-2</v>
      </c>
      <c r="H1026" s="65">
        <v>865.79167059999997</v>
      </c>
      <c r="I1026" s="47">
        <f t="shared" si="77"/>
        <v>-0.10455586663721816</v>
      </c>
      <c r="L1026" s="65">
        <v>423.10196852000001</v>
      </c>
      <c r="M1026" s="47">
        <f t="shared" si="78"/>
        <v>-3.3123929200759794E-2</v>
      </c>
      <c r="P1026" s="65">
        <v>668.74456310000005</v>
      </c>
      <c r="Q1026" s="47">
        <f t="shared" si="79"/>
        <v>-2.8941901276329784E-2</v>
      </c>
    </row>
    <row r="1027" spans="1:17" ht="14.4" x14ac:dyDescent="0.3">
      <c r="A1027" s="63">
        <v>45705</v>
      </c>
      <c r="B1027" s="64">
        <v>20652.349999999999</v>
      </c>
      <c r="C1027" s="47">
        <f t="shared" si="75"/>
        <v>9.3296693177458145E-4</v>
      </c>
      <c r="D1027" s="65">
        <v>716.87483396000005</v>
      </c>
      <c r="E1027" s="47">
        <f t="shared" si="76"/>
        <v>-2.3809523812441835E-2</v>
      </c>
      <c r="H1027" s="65">
        <v>908.85731279000004</v>
      </c>
      <c r="I1027" s="47">
        <f t="shared" si="77"/>
        <v>4.9741345005265725E-2</v>
      </c>
      <c r="L1027" s="65">
        <v>407.35747708000002</v>
      </c>
      <c r="M1027" s="47">
        <f t="shared" si="78"/>
        <v>-3.721204960372515E-2</v>
      </c>
      <c r="P1027" s="65">
        <v>651.08240495999996</v>
      </c>
      <c r="Q1027" s="47">
        <f t="shared" si="79"/>
        <v>-2.6410918480034073E-2</v>
      </c>
    </row>
    <row r="1028" spans="1:17" ht="14.4" x14ac:dyDescent="0.3">
      <c r="A1028" s="63">
        <v>45706</v>
      </c>
      <c r="B1028" s="64">
        <v>20611.400000000001</v>
      </c>
      <c r="C1028" s="47">
        <f t="shared" ref="C1028:C1091" si="80">B1028/B1027-1</f>
        <v>-1.9828251990692269E-3</v>
      </c>
      <c r="D1028" s="65">
        <v>704.30152912000005</v>
      </c>
      <c r="E1028" s="47">
        <f t="shared" ref="E1028:E1091" si="81">D1028/D1027-1</f>
        <v>-1.7539051790317894E-2</v>
      </c>
      <c r="H1028" s="65">
        <v>888.82563693999998</v>
      </c>
      <c r="I1028" s="47">
        <f t="shared" ref="I1028:I1091" si="82">H1028/H1027-1</f>
        <v>-2.2040506873963528E-2</v>
      </c>
      <c r="L1028" s="65">
        <v>389.41375507999999</v>
      </c>
      <c r="M1028" s="47">
        <f t="shared" ref="M1028:M1091" si="83">L1028/L1027-1</f>
        <v>-4.4049079763119448E-2</v>
      </c>
      <c r="P1028" s="65">
        <v>648.96097255999996</v>
      </c>
      <c r="Q1028" s="47">
        <f t="shared" ref="Q1028:Q1091" si="84">P1028/P1027-1</f>
        <v>-3.2583162804565857E-3</v>
      </c>
    </row>
    <row r="1029" spans="1:17" ht="14.4" x14ac:dyDescent="0.3">
      <c r="A1029" s="63">
        <v>45707</v>
      </c>
      <c r="B1029" s="64">
        <v>20731.45</v>
      </c>
      <c r="C1029" s="47">
        <f t="shared" si="80"/>
        <v>5.8244466654375771E-3</v>
      </c>
      <c r="D1029" s="65">
        <v>730.47954272000004</v>
      </c>
      <c r="E1029" s="47">
        <f t="shared" si="81"/>
        <v>3.7168758717176953E-2</v>
      </c>
      <c r="H1029" s="65">
        <v>926.08356966999997</v>
      </c>
      <c r="I1029" s="47">
        <f t="shared" si="82"/>
        <v>4.1918157152025293E-2</v>
      </c>
      <c r="L1029" s="65">
        <v>419.45324511000001</v>
      </c>
      <c r="M1029" s="47">
        <f t="shared" si="83"/>
        <v>7.7140290085101926E-2</v>
      </c>
      <c r="P1029" s="65">
        <v>646.24751250999998</v>
      </c>
      <c r="Q1029" s="47">
        <f t="shared" si="84"/>
        <v>-4.1812376471516144E-3</v>
      </c>
    </row>
    <row r="1030" spans="1:17" ht="14.4" x14ac:dyDescent="0.3">
      <c r="A1030" s="63">
        <v>45708</v>
      </c>
      <c r="B1030" s="64">
        <v>20831.099999999999</v>
      </c>
      <c r="C1030" s="47">
        <f t="shared" si="80"/>
        <v>4.8067067185362244E-3</v>
      </c>
      <c r="D1030" s="65">
        <v>753.31777222000005</v>
      </c>
      <c r="E1030" s="47">
        <f t="shared" si="81"/>
        <v>3.1264707858840168E-2</v>
      </c>
      <c r="H1030" s="65">
        <v>911.95803903000001</v>
      </c>
      <c r="I1030" s="47">
        <f t="shared" si="82"/>
        <v>-1.5252976192022816E-2</v>
      </c>
      <c r="L1030" s="65">
        <v>418.95341997999998</v>
      </c>
      <c r="M1030" s="47">
        <f t="shared" si="83"/>
        <v>-1.1916110694744075E-3</v>
      </c>
      <c r="P1030" s="65">
        <v>647.87558853999997</v>
      </c>
      <c r="Q1030" s="47">
        <f t="shared" si="84"/>
        <v>2.5192762811212521E-3</v>
      </c>
    </row>
    <row r="1031" spans="1:17" ht="14.4" x14ac:dyDescent="0.3">
      <c r="A1031" s="63">
        <v>45709</v>
      </c>
      <c r="B1031" s="64">
        <v>20690.25</v>
      </c>
      <c r="C1031" s="47">
        <f t="shared" si="80"/>
        <v>-6.7615248354623292E-3</v>
      </c>
      <c r="D1031" s="65">
        <v>742.56170283999995</v>
      </c>
      <c r="E1031" s="47">
        <f t="shared" si="81"/>
        <v>-1.4278263140271252E-2</v>
      </c>
      <c r="H1031" s="65">
        <v>905.21518991000005</v>
      </c>
      <c r="I1031" s="47">
        <f t="shared" si="82"/>
        <v>-7.393815100497303E-3</v>
      </c>
      <c r="L1031" s="65">
        <v>417.10406702</v>
      </c>
      <c r="M1031" s="47">
        <f t="shared" si="83"/>
        <v>-4.4142209415267697E-3</v>
      </c>
      <c r="P1031" s="65">
        <v>661.09753932000001</v>
      </c>
      <c r="Q1031" s="47">
        <f t="shared" si="84"/>
        <v>2.0408163255226208E-2</v>
      </c>
    </row>
    <row r="1032" spans="1:17" ht="14.4" x14ac:dyDescent="0.3">
      <c r="A1032" s="63">
        <v>45712</v>
      </c>
      <c r="B1032" s="64">
        <v>20468.45</v>
      </c>
      <c r="C1032" s="47">
        <f t="shared" si="80"/>
        <v>-1.0720025132610722E-2</v>
      </c>
      <c r="D1032" s="65">
        <v>735.53833334000001</v>
      </c>
      <c r="E1032" s="47">
        <f t="shared" si="81"/>
        <v>-9.4582975032759808E-3</v>
      </c>
      <c r="H1032" s="65">
        <v>913.38535746000002</v>
      </c>
      <c r="I1032" s="47">
        <f t="shared" si="82"/>
        <v>9.0256633351593063E-3</v>
      </c>
      <c r="L1032" s="65">
        <v>412.50567587</v>
      </c>
      <c r="M1032" s="47">
        <f t="shared" si="83"/>
        <v>-1.1024565602664071E-2</v>
      </c>
      <c r="P1032" s="65">
        <v>638.45248182</v>
      </c>
      <c r="Q1032" s="47">
        <f t="shared" si="84"/>
        <v>-3.425373133787879E-2</v>
      </c>
    </row>
    <row r="1033" spans="1:17" ht="14.4" x14ac:dyDescent="0.3">
      <c r="A1033" s="63">
        <v>45713</v>
      </c>
      <c r="B1033" s="64">
        <v>20418.75</v>
      </c>
      <c r="C1033" s="47">
        <f t="shared" si="80"/>
        <v>-2.4281271908718205E-3</v>
      </c>
      <c r="D1033" s="65">
        <v>731.46183215999997</v>
      </c>
      <c r="E1033" s="47">
        <f t="shared" si="81"/>
        <v>-5.5422008551058166E-3</v>
      </c>
      <c r="H1033" s="65">
        <v>889.80999446999999</v>
      </c>
      <c r="I1033" s="47">
        <f t="shared" si="82"/>
        <v>-2.5810971018366158E-2</v>
      </c>
      <c r="L1033" s="65">
        <v>409.45674259999998</v>
      </c>
      <c r="M1033" s="47">
        <f t="shared" si="83"/>
        <v>-7.3912516805244577E-3</v>
      </c>
      <c r="P1033" s="65">
        <v>611.90990896999995</v>
      </c>
      <c r="Q1033" s="47">
        <f t="shared" si="84"/>
        <v>-4.1573294185240917E-2</v>
      </c>
    </row>
    <row r="1034" spans="1:17" ht="14.4" x14ac:dyDescent="0.3">
      <c r="A1034" s="63">
        <v>45715</v>
      </c>
      <c r="B1034" s="64">
        <v>20315.55</v>
      </c>
      <c r="C1034" s="47">
        <f t="shared" si="80"/>
        <v>-5.0541781450872403E-3</v>
      </c>
      <c r="D1034" s="65">
        <v>680.48101018</v>
      </c>
      <c r="E1034" s="47">
        <f t="shared" si="81"/>
        <v>-6.969717316548707E-2</v>
      </c>
      <c r="H1034" s="65">
        <v>886.95535761999997</v>
      </c>
      <c r="I1034" s="47">
        <f t="shared" si="82"/>
        <v>-3.208142039020756E-3</v>
      </c>
      <c r="L1034" s="65">
        <v>392.41270582999999</v>
      </c>
      <c r="M1034" s="47">
        <f t="shared" si="83"/>
        <v>-4.1625976560484612E-2</v>
      </c>
      <c r="P1034" s="65">
        <v>629.17738200999997</v>
      </c>
      <c r="Q1034" s="47">
        <f t="shared" si="84"/>
        <v>2.8218979275994371E-2</v>
      </c>
    </row>
    <row r="1035" spans="1:17" ht="14.4" x14ac:dyDescent="0.3">
      <c r="A1035" s="63">
        <v>45716</v>
      </c>
      <c r="B1035" s="64">
        <v>19880.900000000001</v>
      </c>
      <c r="C1035" s="47">
        <f t="shared" si="80"/>
        <v>-2.139494131342734E-2</v>
      </c>
      <c r="D1035" s="65">
        <v>674.29258670000002</v>
      </c>
      <c r="E1035" s="47">
        <f t="shared" si="81"/>
        <v>-9.0941898266390098E-3</v>
      </c>
      <c r="H1035" s="65">
        <v>865.39792758999999</v>
      </c>
      <c r="I1035" s="47">
        <f t="shared" si="82"/>
        <v>-2.4304977522031979E-2</v>
      </c>
      <c r="L1035" s="65">
        <v>391.91288071000002</v>
      </c>
      <c r="M1035" s="47">
        <f t="shared" si="83"/>
        <v>-1.2737230792331244E-3</v>
      </c>
      <c r="P1035" s="65">
        <v>595.33313484999996</v>
      </c>
      <c r="Q1035" s="47">
        <f t="shared" si="84"/>
        <v>-5.3791264797026783E-2</v>
      </c>
    </row>
    <row r="1036" spans="1:17" ht="14.4" x14ac:dyDescent="0.3">
      <c r="A1036" s="63">
        <v>45719</v>
      </c>
      <c r="B1036" s="64">
        <v>19896.95</v>
      </c>
      <c r="C1036" s="47">
        <f t="shared" si="80"/>
        <v>8.0730751625934793E-4</v>
      </c>
      <c r="D1036" s="65">
        <v>674.14524329000005</v>
      </c>
      <c r="E1036" s="47">
        <f t="shared" si="81"/>
        <v>-2.1851554192675593E-4</v>
      </c>
      <c r="H1036" s="65">
        <v>827.40172670000004</v>
      </c>
      <c r="I1036" s="47">
        <f t="shared" si="82"/>
        <v>-4.39060456220568E-2</v>
      </c>
      <c r="L1036" s="65">
        <v>374.66891389</v>
      </c>
      <c r="M1036" s="47">
        <f t="shared" si="83"/>
        <v>-4.3999489857951102E-2</v>
      </c>
      <c r="P1036" s="65">
        <v>583.39391063000005</v>
      </c>
      <c r="Q1036" s="47">
        <f t="shared" si="84"/>
        <v>-2.0054694625737723E-2</v>
      </c>
    </row>
    <row r="1037" spans="1:17" ht="14.4" x14ac:dyDescent="0.3">
      <c r="A1037" s="63">
        <v>45720</v>
      </c>
      <c r="B1037" s="64">
        <v>19917.849999999999</v>
      </c>
      <c r="C1037" s="47">
        <f t="shared" si="80"/>
        <v>1.0504122491135082E-3</v>
      </c>
      <c r="D1037" s="65">
        <v>686.32563234999998</v>
      </c>
      <c r="E1037" s="47">
        <f t="shared" si="81"/>
        <v>1.8067900324500563E-2</v>
      </c>
      <c r="H1037" s="65">
        <v>830.74854232999996</v>
      </c>
      <c r="I1037" s="47">
        <f t="shared" si="82"/>
        <v>4.0449705650824619E-3</v>
      </c>
      <c r="L1037" s="65">
        <v>396.41130683</v>
      </c>
      <c r="M1037" s="47">
        <f t="shared" si="83"/>
        <v>5.803094981715895E-2</v>
      </c>
      <c r="P1037" s="65">
        <v>582.75254734999999</v>
      </c>
      <c r="Q1037" s="47">
        <f t="shared" si="84"/>
        <v>-1.0993657429634318E-3</v>
      </c>
    </row>
    <row r="1038" spans="1:17" ht="14.4" x14ac:dyDescent="0.3">
      <c r="A1038" s="63">
        <v>45721</v>
      </c>
      <c r="B1038" s="64">
        <v>20256.5</v>
      </c>
      <c r="C1038" s="47">
        <f t="shared" si="80"/>
        <v>1.7002337099636833E-2</v>
      </c>
      <c r="D1038" s="65">
        <v>707.39574086000005</v>
      </c>
      <c r="E1038" s="47">
        <f t="shared" si="81"/>
        <v>3.0699871193583972E-2</v>
      </c>
      <c r="H1038" s="65">
        <v>884.34681015000001</v>
      </c>
      <c r="I1038" s="47">
        <f t="shared" si="82"/>
        <v>6.4518040163721535E-2</v>
      </c>
      <c r="L1038" s="65">
        <v>412.20578079000001</v>
      </c>
      <c r="M1038" s="47">
        <f t="shared" si="83"/>
        <v>3.9843651500014898E-2</v>
      </c>
      <c r="P1038" s="65">
        <v>601.94411023999999</v>
      </c>
      <c r="Q1038" s="47">
        <f t="shared" si="84"/>
        <v>3.2932610895089809E-2</v>
      </c>
    </row>
    <row r="1039" spans="1:17" ht="14.4" x14ac:dyDescent="0.3">
      <c r="A1039" s="63">
        <v>45722</v>
      </c>
      <c r="B1039" s="64">
        <v>20447.099999999999</v>
      </c>
      <c r="C1039" s="47">
        <f t="shared" si="80"/>
        <v>9.4093254017229011E-3</v>
      </c>
      <c r="D1039" s="65">
        <v>704.00684229000001</v>
      </c>
      <c r="E1039" s="47">
        <f t="shared" si="81"/>
        <v>-4.7906686091720996E-3</v>
      </c>
      <c r="H1039" s="65">
        <v>902.70507818999999</v>
      </c>
      <c r="I1039" s="47">
        <f t="shared" si="82"/>
        <v>2.0759127334768257E-2</v>
      </c>
      <c r="L1039" s="65">
        <v>412.95551848000002</v>
      </c>
      <c r="M1039" s="47">
        <f t="shared" si="83"/>
        <v>1.8188432208863237E-3</v>
      </c>
      <c r="P1039" s="65">
        <v>602.19078843</v>
      </c>
      <c r="Q1039" s="47">
        <f t="shared" si="84"/>
        <v>4.098024813328216E-4</v>
      </c>
    </row>
    <row r="1040" spans="1:17" ht="14.4" x14ac:dyDescent="0.3">
      <c r="A1040" s="63">
        <v>45723</v>
      </c>
      <c r="B1040" s="64">
        <v>20443.400000000001</v>
      </c>
      <c r="C1040" s="47">
        <f t="shared" si="80"/>
        <v>-1.8095475642010417E-4</v>
      </c>
      <c r="D1040" s="65">
        <v>710.19526576999999</v>
      </c>
      <c r="E1040" s="47">
        <f t="shared" si="81"/>
        <v>8.7902888271231827E-3</v>
      </c>
      <c r="H1040" s="65">
        <v>916.63373732000002</v>
      </c>
      <c r="I1040" s="47">
        <f t="shared" si="82"/>
        <v>1.542991112659764E-2</v>
      </c>
      <c r="L1040" s="65">
        <v>422.55216088999998</v>
      </c>
      <c r="M1040" s="47">
        <f t="shared" si="83"/>
        <v>2.3238925212388795E-2</v>
      </c>
      <c r="P1040" s="65">
        <v>598.58928691000006</v>
      </c>
      <c r="Q1040" s="47">
        <f t="shared" si="84"/>
        <v>-5.9806652462911503E-3</v>
      </c>
    </row>
    <row r="1041" spans="1:17" ht="14.4" x14ac:dyDescent="0.3">
      <c r="A1041" s="63">
        <v>45726</v>
      </c>
      <c r="B1041" s="64">
        <v>20266.5</v>
      </c>
      <c r="C1041" s="47">
        <f t="shared" si="80"/>
        <v>-8.6531594548853175E-3</v>
      </c>
      <c r="D1041" s="65">
        <v>685.88360209999996</v>
      </c>
      <c r="E1041" s="47">
        <f t="shared" si="81"/>
        <v>-3.4232365156139255E-2</v>
      </c>
      <c r="H1041" s="65">
        <v>893.69820674000005</v>
      </c>
      <c r="I1041" s="47">
        <f t="shared" si="82"/>
        <v>-2.5021477659176616E-2</v>
      </c>
      <c r="L1041" s="65">
        <v>403.40885859000002</v>
      </c>
      <c r="M1041" s="47">
        <f t="shared" si="83"/>
        <v>-4.5303998113935595E-2</v>
      </c>
      <c r="P1041" s="65">
        <v>599.42799274000004</v>
      </c>
      <c r="Q1041" s="47">
        <f t="shared" si="84"/>
        <v>1.4011373880904454E-3</v>
      </c>
    </row>
    <row r="1042" spans="1:17" ht="14.4" x14ac:dyDescent="0.3">
      <c r="A1042" s="63">
        <v>45727</v>
      </c>
      <c r="B1042" s="64">
        <v>20302.5</v>
      </c>
      <c r="C1042" s="47">
        <f t="shared" si="80"/>
        <v>1.7763303974538402E-3</v>
      </c>
      <c r="D1042" s="65">
        <v>664.71526464999999</v>
      </c>
      <c r="E1042" s="47">
        <f t="shared" si="81"/>
        <v>-3.0862871462720376E-2</v>
      </c>
      <c r="H1042" s="65">
        <v>861.70658682999999</v>
      </c>
      <c r="I1042" s="47">
        <f t="shared" si="82"/>
        <v>-3.5796893927646956E-2</v>
      </c>
      <c r="L1042" s="65">
        <v>412.55565838000001</v>
      </c>
      <c r="M1042" s="47">
        <f t="shared" si="83"/>
        <v>2.2673770283503369E-2</v>
      </c>
      <c r="P1042" s="65">
        <v>576.53625705000002</v>
      </c>
      <c r="Q1042" s="47">
        <f t="shared" si="84"/>
        <v>-3.8189300411816451E-2</v>
      </c>
    </row>
    <row r="1043" spans="1:17" ht="14.4" x14ac:dyDescent="0.3">
      <c r="A1043" s="63">
        <v>45728</v>
      </c>
      <c r="B1043" s="64">
        <v>20264.349999999999</v>
      </c>
      <c r="C1043" s="47">
        <f t="shared" si="80"/>
        <v>-1.8790789311662337E-3</v>
      </c>
      <c r="D1043" s="65">
        <v>701.94403446000001</v>
      </c>
      <c r="E1043" s="47">
        <f t="shared" si="81"/>
        <v>5.6007093247064876E-2</v>
      </c>
      <c r="H1043" s="65">
        <v>864.70887731000005</v>
      </c>
      <c r="I1043" s="47">
        <f t="shared" si="82"/>
        <v>3.484121539612195E-3</v>
      </c>
      <c r="L1043" s="65">
        <v>400.40990784000002</v>
      </c>
      <c r="M1043" s="47">
        <f t="shared" si="83"/>
        <v>-2.944027137500238E-2</v>
      </c>
      <c r="P1043" s="65">
        <v>568.74122637000005</v>
      </c>
      <c r="Q1043" s="47">
        <f t="shared" si="84"/>
        <v>-1.3520451809718392E-2</v>
      </c>
    </row>
    <row r="1044" spans="1:17" ht="14.4" x14ac:dyDescent="0.3">
      <c r="A1044" s="63">
        <v>45729</v>
      </c>
      <c r="B1044" s="64">
        <v>20176.05</v>
      </c>
      <c r="C1044" s="47">
        <f t="shared" si="80"/>
        <v>-4.3574059863750181E-3</v>
      </c>
      <c r="D1044" s="65">
        <v>659.70558849999998</v>
      </c>
      <c r="E1044" s="47">
        <f t="shared" si="81"/>
        <v>-6.0173523652058303E-2</v>
      </c>
      <c r="H1044" s="65">
        <v>843.24988302999998</v>
      </c>
      <c r="I1044" s="47">
        <f t="shared" si="82"/>
        <v>-2.481643804416156E-2</v>
      </c>
      <c r="L1044" s="65">
        <v>394.21207628000002</v>
      </c>
      <c r="M1044" s="47">
        <f t="shared" si="83"/>
        <v>-1.5478716781595181E-2</v>
      </c>
      <c r="P1044" s="65">
        <v>558.33140690000005</v>
      </c>
      <c r="Q1044" s="47">
        <f t="shared" si="84"/>
        <v>-1.830326163700291E-2</v>
      </c>
    </row>
    <row r="1045" spans="1:17" ht="14.4" x14ac:dyDescent="0.3">
      <c r="A1045" s="63">
        <v>45733</v>
      </c>
      <c r="B1045" s="64">
        <v>20288.3</v>
      </c>
      <c r="C1045" s="47">
        <f t="shared" si="80"/>
        <v>5.5635270531149139E-3</v>
      </c>
      <c r="D1045" s="65">
        <v>705.57850539000003</v>
      </c>
      <c r="E1045" s="47">
        <f t="shared" si="81"/>
        <v>6.9535437761415908E-2</v>
      </c>
      <c r="H1045" s="65">
        <v>860.03317902000003</v>
      </c>
      <c r="I1045" s="47">
        <f t="shared" si="82"/>
        <v>1.9903110961241532E-2</v>
      </c>
      <c r="L1045" s="65">
        <v>385.06527648999997</v>
      </c>
      <c r="M1045" s="47">
        <f t="shared" si="83"/>
        <v>-2.3202738678921864E-2</v>
      </c>
      <c r="P1045" s="65">
        <v>534.10760901000003</v>
      </c>
      <c r="Q1045" s="47">
        <f t="shared" si="84"/>
        <v>-4.338605636479731E-2</v>
      </c>
    </row>
    <row r="1046" spans="1:17" ht="14.4" x14ac:dyDescent="0.3">
      <c r="A1046" s="63">
        <v>45734</v>
      </c>
      <c r="B1046" s="64">
        <v>20657.2</v>
      </c>
      <c r="C1046" s="47">
        <f t="shared" si="80"/>
        <v>1.8182893588915894E-2</v>
      </c>
      <c r="D1046" s="65">
        <v>725.91189682000004</v>
      </c>
      <c r="E1046" s="47">
        <f t="shared" si="81"/>
        <v>2.8818042605706973E-2</v>
      </c>
      <c r="H1046" s="65">
        <v>890.54826262999995</v>
      </c>
      <c r="I1046" s="47">
        <f t="shared" si="82"/>
        <v>3.5481286483355801E-2</v>
      </c>
      <c r="L1046" s="65">
        <v>408.40710983999998</v>
      </c>
      <c r="M1046" s="47">
        <f t="shared" si="83"/>
        <v>6.0617860854057515E-2</v>
      </c>
      <c r="P1046" s="65">
        <v>559.36745528999995</v>
      </c>
      <c r="Q1046" s="47">
        <f t="shared" si="84"/>
        <v>4.7293552561103791E-2</v>
      </c>
    </row>
    <row r="1047" spans="1:17" ht="14.4" x14ac:dyDescent="0.3">
      <c r="A1047" s="63">
        <v>45735</v>
      </c>
      <c r="B1047" s="64">
        <v>20864.5</v>
      </c>
      <c r="C1047" s="47">
        <f t="shared" si="80"/>
        <v>1.0035241949538198E-2</v>
      </c>
      <c r="D1047" s="65">
        <v>751.84433806000004</v>
      </c>
      <c r="E1047" s="47">
        <f t="shared" si="81"/>
        <v>3.5723951286102507E-2</v>
      </c>
      <c r="H1047" s="65">
        <v>910.08775971</v>
      </c>
      <c r="I1047" s="47">
        <f t="shared" si="82"/>
        <v>2.1940974902691091E-2</v>
      </c>
      <c r="L1047" s="65">
        <v>426.90063946999999</v>
      </c>
      <c r="M1047" s="47">
        <f t="shared" si="83"/>
        <v>4.5282095204574491E-2</v>
      </c>
      <c r="P1047" s="65">
        <v>570.22129547999998</v>
      </c>
      <c r="Q1047" s="47">
        <f t="shared" si="84"/>
        <v>1.9403774902086335E-2</v>
      </c>
    </row>
    <row r="1048" spans="1:17" ht="14.4" x14ac:dyDescent="0.3">
      <c r="A1048" s="63">
        <v>45736</v>
      </c>
      <c r="B1048" s="64">
        <v>21070.05</v>
      </c>
      <c r="C1048" s="47">
        <f t="shared" si="80"/>
        <v>9.8516619137769545E-3</v>
      </c>
      <c r="D1048" s="65">
        <v>816.38075432999995</v>
      </c>
      <c r="E1048" s="47">
        <f t="shared" si="81"/>
        <v>8.5837470607977862E-2</v>
      </c>
      <c r="H1048" s="65">
        <v>924.31172609999999</v>
      </c>
      <c r="I1048" s="47">
        <f t="shared" si="82"/>
        <v>1.5629225026092541E-2</v>
      </c>
      <c r="L1048" s="65">
        <v>436.79717694999999</v>
      </c>
      <c r="M1048" s="47">
        <f t="shared" si="83"/>
        <v>2.3182297155344145E-2</v>
      </c>
      <c r="P1048" s="65">
        <v>574.36548901000003</v>
      </c>
      <c r="Q1048" s="47">
        <f t="shared" si="84"/>
        <v>7.2676933724677983E-3</v>
      </c>
    </row>
    <row r="1049" spans="1:17" ht="14.4" x14ac:dyDescent="0.3">
      <c r="A1049" s="63">
        <v>45737</v>
      </c>
      <c r="B1049" s="64">
        <v>21273.9</v>
      </c>
      <c r="C1049" s="47">
        <f t="shared" si="80"/>
        <v>9.6748702542235332E-3</v>
      </c>
      <c r="D1049" s="65">
        <v>824.18995538000001</v>
      </c>
      <c r="E1049" s="47">
        <f t="shared" si="81"/>
        <v>9.5656358979323564E-3</v>
      </c>
      <c r="H1049" s="65">
        <v>958.32127895999997</v>
      </c>
      <c r="I1049" s="47">
        <f t="shared" si="82"/>
        <v>3.6794462192423216E-2</v>
      </c>
      <c r="L1049" s="65">
        <v>462.53817091000002</v>
      </c>
      <c r="M1049" s="47">
        <f t="shared" si="83"/>
        <v>5.8931227852112578E-2</v>
      </c>
      <c r="P1049" s="65">
        <v>589.26485147000005</v>
      </c>
      <c r="Q1049" s="47">
        <f t="shared" si="84"/>
        <v>2.5940560052939654E-2</v>
      </c>
    </row>
    <row r="1050" spans="1:17" ht="14.4" x14ac:dyDescent="0.3">
      <c r="A1050" s="63">
        <v>45740</v>
      </c>
      <c r="B1050" s="64">
        <v>21538.1</v>
      </c>
      <c r="C1050" s="47">
        <f t="shared" si="80"/>
        <v>1.2418973483940388E-2</v>
      </c>
      <c r="D1050" s="65">
        <v>787.55055923999998</v>
      </c>
      <c r="E1050" s="47">
        <f t="shared" si="81"/>
        <v>-4.4455038429954019E-2</v>
      </c>
      <c r="H1050" s="65">
        <v>965.06412808000005</v>
      </c>
      <c r="I1050" s="47">
        <f t="shared" si="82"/>
        <v>7.0361049765248485E-3</v>
      </c>
      <c r="L1050" s="65">
        <v>465.93698175999998</v>
      </c>
      <c r="M1050" s="47">
        <f t="shared" si="83"/>
        <v>7.3481737589637941E-3</v>
      </c>
      <c r="P1050" s="65">
        <v>601.40141822999999</v>
      </c>
      <c r="Q1050" s="47">
        <f t="shared" si="84"/>
        <v>2.0596115192894393E-2</v>
      </c>
    </row>
    <row r="1051" spans="1:17" ht="14.4" x14ac:dyDescent="0.3">
      <c r="A1051" s="63">
        <v>45741</v>
      </c>
      <c r="B1051" s="64">
        <v>21437.75</v>
      </c>
      <c r="C1051" s="47">
        <f t="shared" si="80"/>
        <v>-4.6591853506111613E-3</v>
      </c>
      <c r="D1051" s="65">
        <v>767.06982439000001</v>
      </c>
      <c r="E1051" s="47">
        <f t="shared" si="81"/>
        <v>-2.6005612731408889E-2</v>
      </c>
      <c r="H1051" s="65">
        <v>1000.9931781400001</v>
      </c>
      <c r="I1051" s="47">
        <f t="shared" si="82"/>
        <v>3.7229702166508893E-2</v>
      </c>
      <c r="L1051" s="65">
        <v>459.13936004999999</v>
      </c>
      <c r="M1051" s="47">
        <f t="shared" si="83"/>
        <v>-1.4589143974627405E-2</v>
      </c>
      <c r="P1051" s="65">
        <v>579.00303891999999</v>
      </c>
      <c r="Q1051" s="47">
        <f t="shared" si="84"/>
        <v>-3.7243642317840275E-2</v>
      </c>
    </row>
    <row r="1052" spans="1:17" ht="14.4" x14ac:dyDescent="0.3">
      <c r="A1052" s="63">
        <v>45742</v>
      </c>
      <c r="B1052" s="64">
        <v>21275.45</v>
      </c>
      <c r="C1052" s="47">
        <f t="shared" si="80"/>
        <v>-7.5707571923359085E-3</v>
      </c>
      <c r="D1052" s="65">
        <v>747.96429477000004</v>
      </c>
      <c r="E1052" s="47">
        <f t="shared" si="81"/>
        <v>-2.4907158400075735E-2</v>
      </c>
      <c r="H1052" s="65">
        <v>993.01988210000002</v>
      </c>
      <c r="I1052" s="47">
        <f t="shared" si="82"/>
        <v>-7.9653849937475485E-3</v>
      </c>
      <c r="L1052" s="65">
        <v>454.69091644000002</v>
      </c>
      <c r="M1052" s="47">
        <f t="shared" si="83"/>
        <v>-9.6886566412331954E-3</v>
      </c>
      <c r="P1052" s="65">
        <v>572.39206351999997</v>
      </c>
      <c r="Q1052" s="47">
        <f t="shared" si="84"/>
        <v>-1.1417859589012425E-2</v>
      </c>
    </row>
    <row r="1053" spans="1:17" ht="14.4" x14ac:dyDescent="0.3">
      <c r="A1053" s="63">
        <v>45743</v>
      </c>
      <c r="B1053" s="64">
        <v>21407.95</v>
      </c>
      <c r="C1053" s="47">
        <f t="shared" si="80"/>
        <v>6.2278353689346755E-3</v>
      </c>
      <c r="D1053" s="65">
        <v>783.91608830999996</v>
      </c>
      <c r="E1053" s="47">
        <f t="shared" si="81"/>
        <v>4.8066189511165369E-2</v>
      </c>
      <c r="H1053" s="65">
        <v>967.52502191999997</v>
      </c>
      <c r="I1053" s="47">
        <f t="shared" si="82"/>
        <v>-2.5674068203029865E-2</v>
      </c>
      <c r="L1053" s="65">
        <v>449.19284005999998</v>
      </c>
      <c r="M1053" s="47">
        <f t="shared" si="83"/>
        <v>-1.2091898432999737E-2</v>
      </c>
      <c r="P1053" s="65">
        <v>540.96526258999995</v>
      </c>
      <c r="Q1053" s="47">
        <f t="shared" si="84"/>
        <v>-5.4904326829300909E-2</v>
      </c>
    </row>
    <row r="1054" spans="1:17" ht="14.4" x14ac:dyDescent="0.3">
      <c r="A1054" s="63">
        <v>45744</v>
      </c>
      <c r="B1054" s="64">
        <v>21339.55</v>
      </c>
      <c r="C1054" s="47">
        <f t="shared" si="80"/>
        <v>-3.1950747269122726E-3</v>
      </c>
      <c r="D1054" s="65">
        <v>768.88705986000002</v>
      </c>
      <c r="E1054" s="47">
        <f t="shared" si="81"/>
        <v>-1.9171731099944855E-2</v>
      </c>
      <c r="H1054" s="65">
        <v>959.25641861999998</v>
      </c>
      <c r="I1054" s="47">
        <f t="shared" si="82"/>
        <v>-8.5461389759113882E-3</v>
      </c>
      <c r="L1054" s="65">
        <v>437.09707202999999</v>
      </c>
      <c r="M1054" s="47">
        <f t="shared" si="83"/>
        <v>-2.6927784575516256E-2</v>
      </c>
      <c r="P1054" s="65">
        <v>536.77173342000003</v>
      </c>
      <c r="Q1054" s="47">
        <f t="shared" si="84"/>
        <v>-7.7519379893681295E-3</v>
      </c>
    </row>
    <row r="1055" spans="1:17" ht="14.4" x14ac:dyDescent="0.3">
      <c r="A1055" s="63">
        <v>45748</v>
      </c>
      <c r="B1055" s="64">
        <v>21070.75</v>
      </c>
      <c r="C1055" s="47">
        <f t="shared" si="80"/>
        <v>-1.2596329350900048E-2</v>
      </c>
      <c r="D1055" s="65">
        <v>777.72766482999998</v>
      </c>
      <c r="E1055" s="47">
        <f t="shared" si="81"/>
        <v>1.1497923988484926E-2</v>
      </c>
      <c r="H1055" s="65">
        <v>967.82032918000004</v>
      </c>
      <c r="I1055" s="47">
        <f t="shared" si="82"/>
        <v>8.9276552064361248E-3</v>
      </c>
      <c r="L1055" s="65">
        <v>436.79717694999999</v>
      </c>
      <c r="M1055" s="47">
        <f t="shared" si="83"/>
        <v>-6.8610635758137306E-4</v>
      </c>
      <c r="P1055" s="65">
        <v>540.42257057999996</v>
      </c>
      <c r="Q1055" s="47">
        <f t="shared" si="84"/>
        <v>6.8014705929817509E-3</v>
      </c>
    </row>
    <row r="1056" spans="1:17" ht="14.4" x14ac:dyDescent="0.3">
      <c r="A1056" s="63">
        <v>45749</v>
      </c>
      <c r="B1056" s="64">
        <v>21265.65</v>
      </c>
      <c r="C1056" s="47">
        <f t="shared" si="80"/>
        <v>9.2497893999976544E-3</v>
      </c>
      <c r="D1056" s="65">
        <v>753.66157353000006</v>
      </c>
      <c r="E1056" s="47">
        <f t="shared" si="81"/>
        <v>-3.0944111143661579E-2</v>
      </c>
      <c r="H1056" s="65">
        <v>955.90960299999995</v>
      </c>
      <c r="I1056" s="47">
        <f t="shared" si="82"/>
        <v>-1.2306753455046393E-2</v>
      </c>
      <c r="L1056" s="65">
        <v>444.34453635</v>
      </c>
      <c r="M1056" s="47">
        <f t="shared" si="83"/>
        <v>1.7278864878890854E-2</v>
      </c>
      <c r="P1056" s="65">
        <v>543.53071571999999</v>
      </c>
      <c r="Q1056" s="47">
        <f t="shared" si="84"/>
        <v>5.7513237033461895E-3</v>
      </c>
    </row>
    <row r="1057" spans="1:17" ht="14.4" x14ac:dyDescent="0.3">
      <c r="A1057" s="63">
        <v>45750</v>
      </c>
      <c r="B1057" s="64">
        <v>21243.4</v>
      </c>
      <c r="C1057" s="47">
        <f t="shared" si="80"/>
        <v>-1.0462882629969084E-3</v>
      </c>
      <c r="D1057" s="65">
        <v>713.53504986999997</v>
      </c>
      <c r="E1057" s="47">
        <f t="shared" si="81"/>
        <v>-5.3242098402410898E-2</v>
      </c>
      <c r="H1057" s="65">
        <v>944.83558072000005</v>
      </c>
      <c r="I1057" s="47">
        <f t="shared" si="82"/>
        <v>-1.1584800743967283E-2</v>
      </c>
      <c r="L1057" s="65">
        <v>448.19318980999998</v>
      </c>
      <c r="M1057" s="47">
        <f t="shared" si="83"/>
        <v>8.6614173128225502E-3</v>
      </c>
      <c r="P1057" s="65">
        <v>550.04301984000006</v>
      </c>
      <c r="Q1057" s="47">
        <f t="shared" si="84"/>
        <v>1.1981483164890561E-2</v>
      </c>
    </row>
    <row r="1058" spans="1:17" ht="14.4" x14ac:dyDescent="0.3">
      <c r="A1058" s="63">
        <v>45751</v>
      </c>
      <c r="B1058" s="64">
        <v>20805.349999999999</v>
      </c>
      <c r="C1058" s="47">
        <f t="shared" si="80"/>
        <v>-2.0620522138640851E-2</v>
      </c>
      <c r="D1058" s="65">
        <v>677.19034054999997</v>
      </c>
      <c r="E1058" s="47">
        <f t="shared" si="81"/>
        <v>-5.0936123357390395E-2</v>
      </c>
      <c r="H1058" s="65">
        <v>916.92904457999998</v>
      </c>
      <c r="I1058" s="47">
        <f t="shared" si="82"/>
        <v>-2.9535864979528204E-2</v>
      </c>
      <c r="L1058" s="65">
        <v>425.15125153999998</v>
      </c>
      <c r="M1058" s="47">
        <f t="shared" si="83"/>
        <v>-5.1410728216928159E-2</v>
      </c>
      <c r="P1058" s="65">
        <v>532.08484787999998</v>
      </c>
      <c r="Q1058" s="47">
        <f t="shared" si="84"/>
        <v>-3.2648668035499928E-2</v>
      </c>
    </row>
    <row r="1059" spans="1:17" ht="14.4" x14ac:dyDescent="0.3">
      <c r="A1059" s="63">
        <v>45754</v>
      </c>
      <c r="B1059" s="64">
        <v>20105.7</v>
      </c>
      <c r="C1059" s="47">
        <f t="shared" si="80"/>
        <v>-3.3628369626081622E-2</v>
      </c>
      <c r="D1059" s="65">
        <v>645.60973503000002</v>
      </c>
      <c r="E1059" s="47">
        <f t="shared" si="81"/>
        <v>-4.6634754852455274E-2</v>
      </c>
      <c r="H1059" s="65">
        <v>855.16060920999996</v>
      </c>
      <c r="I1059" s="47">
        <f t="shared" si="82"/>
        <v>-6.7364465914909633E-2</v>
      </c>
      <c r="L1059" s="65">
        <v>403.45884109999997</v>
      </c>
      <c r="M1059" s="47">
        <f t="shared" si="83"/>
        <v>-5.1022807439528584E-2</v>
      </c>
      <c r="P1059" s="65">
        <v>526.26324267999996</v>
      </c>
      <c r="Q1059" s="47">
        <f t="shared" si="84"/>
        <v>-1.094112193420882E-2</v>
      </c>
    </row>
    <row r="1060" spans="1:17" ht="14.4" x14ac:dyDescent="0.3">
      <c r="A1060" s="63">
        <v>45755</v>
      </c>
      <c r="B1060" s="64">
        <v>20480.8</v>
      </c>
      <c r="C1060" s="47">
        <f t="shared" si="80"/>
        <v>1.8656400921131855E-2</v>
      </c>
      <c r="D1060" s="65">
        <v>652.82956242</v>
      </c>
      <c r="E1060" s="47">
        <f t="shared" si="81"/>
        <v>1.1182959299187889E-2</v>
      </c>
      <c r="H1060" s="65">
        <v>863.13390525</v>
      </c>
      <c r="I1060" s="47">
        <f t="shared" si="82"/>
        <v>9.323741007394748E-3</v>
      </c>
      <c r="L1060" s="65">
        <v>421.002703</v>
      </c>
      <c r="M1060" s="47">
        <f t="shared" si="83"/>
        <v>4.3483647184847873E-2</v>
      </c>
      <c r="P1060" s="65">
        <v>525.37520121</v>
      </c>
      <c r="Q1060" s="47">
        <f t="shared" si="84"/>
        <v>-1.6874472658923168E-3</v>
      </c>
    </row>
    <row r="1061" spans="1:17" ht="14.4" x14ac:dyDescent="0.3">
      <c r="A1061" s="63">
        <v>45756</v>
      </c>
      <c r="B1061" s="64">
        <v>20356.75</v>
      </c>
      <c r="C1061" s="47">
        <f t="shared" si="80"/>
        <v>-6.0568923088941684E-3</v>
      </c>
      <c r="D1061" s="65">
        <v>646.34645210999997</v>
      </c>
      <c r="E1061" s="47">
        <f t="shared" si="81"/>
        <v>-9.9307854349725E-3</v>
      </c>
      <c r="H1061" s="65">
        <v>873.71574876</v>
      </c>
      <c r="I1061" s="47">
        <f t="shared" si="82"/>
        <v>1.2259793579693756E-2</v>
      </c>
      <c r="L1061" s="65">
        <v>403.05898100000002</v>
      </c>
      <c r="M1061" s="47">
        <f t="shared" si="83"/>
        <v>-4.2621393810861052E-2</v>
      </c>
      <c r="P1061" s="65">
        <v>509.78513984</v>
      </c>
      <c r="Q1061" s="47">
        <f t="shared" si="84"/>
        <v>-2.9674147797791539E-2</v>
      </c>
    </row>
    <row r="1062" spans="1:17" ht="14.4" x14ac:dyDescent="0.3">
      <c r="A1062" s="63">
        <v>45758</v>
      </c>
      <c r="B1062" s="64">
        <v>20752.849999999999</v>
      </c>
      <c r="C1062" s="47">
        <f t="shared" si="80"/>
        <v>1.9457919363356169E-2</v>
      </c>
      <c r="D1062" s="65">
        <v>648.36014546000001</v>
      </c>
      <c r="E1062" s="47">
        <f t="shared" si="81"/>
        <v>3.1155015138186748E-3</v>
      </c>
      <c r="H1062" s="65">
        <v>882.27965931999995</v>
      </c>
      <c r="I1062" s="47">
        <f t="shared" si="82"/>
        <v>9.8017124816098811E-3</v>
      </c>
      <c r="L1062" s="65">
        <v>426.05093676000001</v>
      </c>
      <c r="M1062" s="47">
        <f t="shared" si="83"/>
        <v>5.704365079015572E-2</v>
      </c>
      <c r="P1062" s="65">
        <v>503.12482881</v>
      </c>
      <c r="Q1062" s="47">
        <f t="shared" si="84"/>
        <v>-1.3064937577604518E-2</v>
      </c>
    </row>
    <row r="1063" spans="1:17" ht="14.4" x14ac:dyDescent="0.3">
      <c r="A1063" s="63">
        <v>45762</v>
      </c>
      <c r="B1063" s="64">
        <v>21279.4</v>
      </c>
      <c r="C1063" s="47">
        <f t="shared" si="80"/>
        <v>2.5372418728030199E-2</v>
      </c>
      <c r="D1063" s="65">
        <v>698.80070824999996</v>
      </c>
      <c r="E1063" s="47">
        <f t="shared" si="81"/>
        <v>7.7797136580955772E-2</v>
      </c>
      <c r="H1063" s="65">
        <v>924.21329034999997</v>
      </c>
      <c r="I1063" s="47">
        <f t="shared" si="82"/>
        <v>4.7528729226648636E-2</v>
      </c>
      <c r="L1063" s="65">
        <v>443.74474620000001</v>
      </c>
      <c r="M1063" s="47">
        <f t="shared" si="83"/>
        <v>4.1529798231536574E-2</v>
      </c>
      <c r="P1063" s="65">
        <v>506.77566596000003</v>
      </c>
      <c r="Q1063" s="47">
        <f t="shared" si="84"/>
        <v>7.2563247547037246E-3</v>
      </c>
    </row>
    <row r="1064" spans="1:17" ht="14.4" x14ac:dyDescent="0.3">
      <c r="A1064" s="63">
        <v>45763</v>
      </c>
      <c r="B1064" s="64">
        <v>21404.35</v>
      </c>
      <c r="C1064" s="47">
        <f t="shared" si="80"/>
        <v>5.8718760867315645E-3</v>
      </c>
      <c r="D1064" s="65">
        <v>710.68641048999996</v>
      </c>
      <c r="E1064" s="47">
        <f t="shared" si="81"/>
        <v>1.7008715216911163E-2</v>
      </c>
      <c r="H1064" s="65">
        <v>917.32278759999997</v>
      </c>
      <c r="I1064" s="47">
        <f t="shared" si="82"/>
        <v>-7.4555330700671885E-3</v>
      </c>
      <c r="L1064" s="65">
        <v>440.29595282999998</v>
      </c>
      <c r="M1064" s="47">
        <f t="shared" si="83"/>
        <v>-7.7720207383494833E-3</v>
      </c>
      <c r="P1064" s="65">
        <v>544.51742847000003</v>
      </c>
      <c r="Q1064" s="47">
        <f t="shared" si="84"/>
        <v>7.4474299073742367E-2</v>
      </c>
    </row>
    <row r="1065" spans="1:17" ht="14.4" x14ac:dyDescent="0.3">
      <c r="A1065" s="63">
        <v>45764</v>
      </c>
      <c r="B1065" s="64">
        <v>21681.55</v>
      </c>
      <c r="C1065" s="47">
        <f t="shared" si="80"/>
        <v>1.2950638538427928E-2</v>
      </c>
      <c r="D1065" s="65">
        <v>698.30956352999999</v>
      </c>
      <c r="E1065" s="47">
        <f t="shared" si="81"/>
        <v>-1.7415342093661912E-2</v>
      </c>
      <c r="H1065" s="65">
        <v>919.63602780999997</v>
      </c>
      <c r="I1065" s="47">
        <f t="shared" si="82"/>
        <v>2.5217298003161748E-3</v>
      </c>
      <c r="L1065" s="65">
        <v>437.94677474000002</v>
      </c>
      <c r="M1065" s="47">
        <f t="shared" si="83"/>
        <v>-5.3354523812917387E-3</v>
      </c>
      <c r="P1065" s="65">
        <v>536.82106906000001</v>
      </c>
      <c r="Q1065" s="47">
        <f t="shared" si="84"/>
        <v>-1.4134275612858627E-2</v>
      </c>
    </row>
    <row r="1066" spans="1:17" ht="14.4" x14ac:dyDescent="0.3">
      <c r="A1066" s="63">
        <v>45768</v>
      </c>
      <c r="B1066" s="64">
        <v>22005.75</v>
      </c>
      <c r="C1066" s="47">
        <f t="shared" si="80"/>
        <v>1.4952805495917154E-2</v>
      </c>
      <c r="D1066" s="65">
        <v>710.39172366000003</v>
      </c>
      <c r="E1066" s="47">
        <f t="shared" si="81"/>
        <v>1.7302011544742424E-2</v>
      </c>
      <c r="H1066" s="65">
        <v>995.48077593999994</v>
      </c>
      <c r="I1066" s="47">
        <f t="shared" si="82"/>
        <v>8.2472571578796172E-2</v>
      </c>
      <c r="L1066" s="65">
        <v>453.29140609000001</v>
      </c>
      <c r="M1066" s="47">
        <f t="shared" si="83"/>
        <v>3.5037662645443168E-2</v>
      </c>
      <c r="P1066" s="65">
        <v>540.47190621000004</v>
      </c>
      <c r="Q1066" s="47">
        <f t="shared" si="84"/>
        <v>6.8008454966062004E-3</v>
      </c>
    </row>
    <row r="1067" spans="1:17" ht="14.4" x14ac:dyDescent="0.3">
      <c r="A1067" s="63">
        <v>45769</v>
      </c>
      <c r="B1067" s="64">
        <v>22085.15</v>
      </c>
      <c r="C1067" s="47">
        <f t="shared" si="80"/>
        <v>3.608147870443057E-3</v>
      </c>
      <c r="D1067" s="65">
        <v>728.07293359000005</v>
      </c>
      <c r="E1067" s="47">
        <f t="shared" si="81"/>
        <v>2.4889380522206572E-2</v>
      </c>
      <c r="H1067" s="65">
        <v>980.56775927000001</v>
      </c>
      <c r="I1067" s="47">
        <f t="shared" si="82"/>
        <v>-1.4980717890727746E-2</v>
      </c>
      <c r="L1067" s="65">
        <v>458.28965734000002</v>
      </c>
      <c r="M1067" s="47">
        <f t="shared" si="83"/>
        <v>1.1026574037910741E-2</v>
      </c>
      <c r="P1067" s="65">
        <v>553.29917190000003</v>
      </c>
      <c r="Q1067" s="47">
        <f t="shared" si="84"/>
        <v>2.3733455046627272E-2</v>
      </c>
    </row>
    <row r="1068" spans="1:17" ht="14.4" x14ac:dyDescent="0.3">
      <c r="A1068" s="63">
        <v>45770</v>
      </c>
      <c r="B1068" s="64">
        <v>22237.599999999999</v>
      </c>
      <c r="C1068" s="47">
        <f t="shared" si="80"/>
        <v>6.9028283710999006E-3</v>
      </c>
      <c r="D1068" s="65">
        <v>725.46986657000002</v>
      </c>
      <c r="E1068" s="47">
        <f t="shared" si="81"/>
        <v>-3.5752833265820794E-3</v>
      </c>
      <c r="H1068" s="65">
        <v>973.23429563000002</v>
      </c>
      <c r="I1068" s="47">
        <f t="shared" si="82"/>
        <v>-7.4787933528015493E-3</v>
      </c>
      <c r="L1068" s="65">
        <v>456.79018195999998</v>
      </c>
      <c r="M1068" s="47">
        <f t="shared" si="83"/>
        <v>-3.2718944361591618E-3</v>
      </c>
      <c r="P1068" s="65">
        <v>559.76214038000001</v>
      </c>
      <c r="Q1068" s="47">
        <f t="shared" si="84"/>
        <v>1.1680784660867083E-2</v>
      </c>
    </row>
    <row r="1069" spans="1:17" ht="14.4" x14ac:dyDescent="0.3">
      <c r="A1069" s="63">
        <v>45771</v>
      </c>
      <c r="B1069" s="64">
        <v>22180.65</v>
      </c>
      <c r="C1069" s="47">
        <f t="shared" si="80"/>
        <v>-2.560977803359954E-3</v>
      </c>
      <c r="D1069" s="65">
        <v>725.22429421000004</v>
      </c>
      <c r="E1069" s="47">
        <f t="shared" si="81"/>
        <v>-3.3850111674660344E-4</v>
      </c>
      <c r="H1069" s="65">
        <v>973.67725652000001</v>
      </c>
      <c r="I1069" s="47">
        <f t="shared" si="82"/>
        <v>4.5514311609129443E-4</v>
      </c>
      <c r="L1069" s="65">
        <v>459.03939502999998</v>
      </c>
      <c r="M1069" s="47">
        <f t="shared" si="83"/>
        <v>4.9239523063937529E-3</v>
      </c>
      <c r="P1069" s="65">
        <v>568.59321944999999</v>
      </c>
      <c r="Q1069" s="47">
        <f t="shared" si="84"/>
        <v>1.5776485104914251E-2</v>
      </c>
    </row>
    <row r="1070" spans="1:17" ht="14.4" x14ac:dyDescent="0.3">
      <c r="A1070" s="63">
        <v>45772</v>
      </c>
      <c r="B1070" s="64">
        <v>21848.15</v>
      </c>
      <c r="C1070" s="47">
        <f t="shared" si="80"/>
        <v>-1.4990543559363689E-2</v>
      </c>
      <c r="D1070" s="65">
        <v>710.39172366000003</v>
      </c>
      <c r="E1070" s="47">
        <f t="shared" si="81"/>
        <v>-2.0452390616833127E-2</v>
      </c>
      <c r="H1070" s="65">
        <v>930.21787131999997</v>
      </c>
      <c r="I1070" s="47">
        <f t="shared" si="82"/>
        <v>-4.4634281954296973E-2</v>
      </c>
      <c r="L1070" s="65">
        <v>442.79507846000001</v>
      </c>
      <c r="M1070" s="47">
        <f t="shared" si="83"/>
        <v>-3.5387630660628444E-2</v>
      </c>
      <c r="P1070" s="65">
        <v>546.24417576999997</v>
      </c>
      <c r="Q1070" s="47">
        <f t="shared" si="84"/>
        <v>-3.9305856833147357E-2</v>
      </c>
    </row>
    <row r="1071" spans="1:17" ht="14.4" x14ac:dyDescent="0.3">
      <c r="A1071" s="63">
        <v>45775</v>
      </c>
      <c r="B1071" s="64">
        <v>22101.85</v>
      </c>
      <c r="C1071" s="47">
        <f t="shared" si="80"/>
        <v>1.1611967145959579E-2</v>
      </c>
      <c r="D1071" s="65">
        <v>711.57047097999998</v>
      </c>
      <c r="E1071" s="47">
        <f t="shared" si="81"/>
        <v>1.6592920226139452E-3</v>
      </c>
      <c r="H1071" s="65">
        <v>932.72798303000002</v>
      </c>
      <c r="I1071" s="47">
        <f t="shared" si="82"/>
        <v>2.6984126916826945E-3</v>
      </c>
      <c r="L1071" s="65">
        <v>454.34103885000002</v>
      </c>
      <c r="M1071" s="47">
        <f t="shared" si="83"/>
        <v>2.6075177777846514E-2</v>
      </c>
      <c r="P1071" s="65">
        <v>550.98039695</v>
      </c>
      <c r="Q1071" s="47">
        <f t="shared" si="84"/>
        <v>8.6705202363461797E-3</v>
      </c>
    </row>
    <row r="1072" spans="1:17" ht="14.4" x14ac:dyDescent="0.3">
      <c r="A1072" s="63">
        <v>45776</v>
      </c>
      <c r="B1072" s="64">
        <v>22112.400000000001</v>
      </c>
      <c r="C1072" s="47">
        <f t="shared" si="80"/>
        <v>4.7733560765284011E-4</v>
      </c>
      <c r="D1072" s="65">
        <v>701.55111868999995</v>
      </c>
      <c r="E1072" s="47">
        <f t="shared" si="81"/>
        <v>-1.4080618432916414E-2</v>
      </c>
      <c r="H1072" s="65">
        <v>951.47999408999999</v>
      </c>
      <c r="I1072" s="47">
        <f t="shared" si="82"/>
        <v>2.010447997827125E-2</v>
      </c>
      <c r="L1072" s="65">
        <v>466.38682437</v>
      </c>
      <c r="M1072" s="47">
        <f t="shared" si="83"/>
        <v>2.6512651268504328E-2</v>
      </c>
      <c r="P1072" s="65">
        <v>552.70714425999995</v>
      </c>
      <c r="Q1072" s="47">
        <f t="shared" si="84"/>
        <v>3.1339541652635194E-3</v>
      </c>
    </row>
    <row r="1073" spans="1:17" ht="14.4" x14ac:dyDescent="0.3">
      <c r="A1073" s="63">
        <v>45777</v>
      </c>
      <c r="B1073" s="64">
        <v>22030.05</v>
      </c>
      <c r="C1073" s="47">
        <f t="shared" si="80"/>
        <v>-3.7241547728876778E-3</v>
      </c>
      <c r="D1073" s="65">
        <v>685.83448763000001</v>
      </c>
      <c r="E1073" s="47">
        <f t="shared" si="81"/>
        <v>-2.240268833060588E-2</v>
      </c>
      <c r="H1073" s="65">
        <v>956.89396053999997</v>
      </c>
      <c r="I1073" s="47">
        <f t="shared" si="82"/>
        <v>5.6900475928323146E-3</v>
      </c>
      <c r="L1073" s="65">
        <v>458.43960487999999</v>
      </c>
      <c r="M1073" s="47">
        <f t="shared" si="83"/>
        <v>-1.7039974276149783E-2</v>
      </c>
      <c r="P1073" s="65">
        <v>537.85711744000002</v>
      </c>
      <c r="Q1073" s="47">
        <f t="shared" si="84"/>
        <v>-2.6867803273797231E-2</v>
      </c>
    </row>
    <row r="1074" spans="1:17" ht="14.4" x14ac:dyDescent="0.3">
      <c r="A1074" s="63">
        <v>45779</v>
      </c>
      <c r="B1074" s="64">
        <v>22006</v>
      </c>
      <c r="C1074" s="47">
        <f t="shared" si="80"/>
        <v>-1.0916906679739879E-3</v>
      </c>
      <c r="D1074" s="65">
        <v>690.74593484000002</v>
      </c>
      <c r="E1074" s="47">
        <f t="shared" si="81"/>
        <v>7.1612718499651784E-3</v>
      </c>
      <c r="H1074" s="65">
        <v>951.82451922999996</v>
      </c>
      <c r="I1074" s="47">
        <f t="shared" si="82"/>
        <v>-5.2978088681207014E-3</v>
      </c>
      <c r="L1074" s="65">
        <v>467.48643965000002</v>
      </c>
      <c r="M1074" s="47">
        <f t="shared" si="83"/>
        <v>1.9733972967645563E-2</v>
      </c>
      <c r="P1074" s="65">
        <v>529.96341547999998</v>
      </c>
      <c r="Q1074" s="47">
        <f t="shared" si="84"/>
        <v>-1.4676206196863495E-2</v>
      </c>
    </row>
    <row r="1075" spans="1:17" ht="14.4" x14ac:dyDescent="0.3">
      <c r="A1075" s="63">
        <v>45782</v>
      </c>
      <c r="B1075" s="64">
        <v>22195.15</v>
      </c>
      <c r="C1075" s="47">
        <f t="shared" si="80"/>
        <v>8.5953830773426443E-3</v>
      </c>
      <c r="D1075" s="65">
        <v>688.14286781999999</v>
      </c>
      <c r="E1075" s="47">
        <f t="shared" si="81"/>
        <v>-3.7684869192939896E-3</v>
      </c>
      <c r="H1075" s="65">
        <v>948.87144662000003</v>
      </c>
      <c r="I1075" s="47">
        <f t="shared" si="82"/>
        <v>-3.1025389137788739E-3</v>
      </c>
      <c r="L1075" s="65">
        <v>469.98556527</v>
      </c>
      <c r="M1075" s="47">
        <f t="shared" si="83"/>
        <v>5.3458783143978117E-3</v>
      </c>
      <c r="P1075" s="65">
        <v>538.9918371</v>
      </c>
      <c r="Q1075" s="47">
        <f t="shared" si="84"/>
        <v>1.7035933719731888E-2</v>
      </c>
    </row>
    <row r="1076" spans="1:17" ht="14.4" x14ac:dyDescent="0.3">
      <c r="A1076" s="63">
        <v>45783</v>
      </c>
      <c r="B1076" s="64">
        <v>21956.6</v>
      </c>
      <c r="C1076" s="47">
        <f t="shared" si="80"/>
        <v>-1.074784356041758E-2</v>
      </c>
      <c r="D1076" s="65">
        <v>678.17262999000002</v>
      </c>
      <c r="E1076" s="47">
        <f t="shared" si="81"/>
        <v>-1.4488616094482154E-2</v>
      </c>
      <c r="H1076" s="65">
        <v>908.06982675999996</v>
      </c>
      <c r="I1076" s="47">
        <f t="shared" si="82"/>
        <v>-4.3000155611532587E-2</v>
      </c>
      <c r="L1076" s="65">
        <v>441.29560307999998</v>
      </c>
      <c r="M1076" s="47">
        <f t="shared" si="83"/>
        <v>-6.1044347550372247E-2</v>
      </c>
      <c r="P1076" s="65">
        <v>530.21009365999998</v>
      </c>
      <c r="Q1076" s="47">
        <f t="shared" si="84"/>
        <v>-1.6292906191769929E-2</v>
      </c>
    </row>
    <row r="1077" spans="1:17" ht="14.4" x14ac:dyDescent="0.3">
      <c r="A1077" s="63">
        <v>45784</v>
      </c>
      <c r="B1077" s="64">
        <v>22072.45</v>
      </c>
      <c r="C1077" s="47">
        <f t="shared" si="80"/>
        <v>5.2763178269861211E-3</v>
      </c>
      <c r="D1077" s="65">
        <v>712.06161569999995</v>
      </c>
      <c r="E1077" s="47">
        <f t="shared" si="81"/>
        <v>4.9971031285204859E-2</v>
      </c>
      <c r="H1077" s="65">
        <v>958.22284320999995</v>
      </c>
      <c r="I1077" s="47">
        <f t="shared" si="82"/>
        <v>5.5230352305555952E-2</v>
      </c>
      <c r="L1077" s="65">
        <v>452.59165091</v>
      </c>
      <c r="M1077" s="47">
        <f t="shared" si="83"/>
        <v>2.5597462905045498E-2</v>
      </c>
      <c r="P1077" s="65">
        <v>537.65977488999999</v>
      </c>
      <c r="Q1077" s="47">
        <f t="shared" si="84"/>
        <v>1.4050432685231318E-2</v>
      </c>
    </row>
    <row r="1078" spans="1:17" ht="14.4" x14ac:dyDescent="0.3">
      <c r="A1078" s="63">
        <v>45785</v>
      </c>
      <c r="B1078" s="64">
        <v>21843.05</v>
      </c>
      <c r="C1078" s="47">
        <f t="shared" si="80"/>
        <v>-1.0393046535386974E-2</v>
      </c>
      <c r="D1078" s="65">
        <v>688.04463886999997</v>
      </c>
      <c r="E1078" s="47">
        <f t="shared" si="81"/>
        <v>-3.3728790178346846E-2</v>
      </c>
      <c r="H1078" s="65">
        <v>932.08815063999998</v>
      </c>
      <c r="I1078" s="47">
        <f t="shared" si="82"/>
        <v>-2.7274128095767347E-2</v>
      </c>
      <c r="L1078" s="65">
        <v>441.94537573999997</v>
      </c>
      <c r="M1078" s="47">
        <f t="shared" si="83"/>
        <v>-2.3522915521296484E-2</v>
      </c>
      <c r="P1078" s="65">
        <v>532.62753988999998</v>
      </c>
      <c r="Q1078" s="47">
        <f t="shared" si="84"/>
        <v>-9.3595155059341684E-3</v>
      </c>
    </row>
    <row r="1079" spans="1:17" ht="14.4" x14ac:dyDescent="0.3">
      <c r="A1079" s="63">
        <v>45786</v>
      </c>
      <c r="B1079" s="64">
        <v>21675.55</v>
      </c>
      <c r="C1079" s="47">
        <f t="shared" si="80"/>
        <v>-7.6683430198621894E-3</v>
      </c>
      <c r="D1079" s="65">
        <v>682.54381801</v>
      </c>
      <c r="E1079" s="47">
        <f t="shared" si="81"/>
        <v>-7.9948604338145879E-3</v>
      </c>
      <c r="H1079" s="65">
        <v>905.21518991000005</v>
      </c>
      <c r="I1079" s="47">
        <f t="shared" si="82"/>
        <v>-2.8830921958988731E-2</v>
      </c>
      <c r="L1079" s="65">
        <v>440.34593533999998</v>
      </c>
      <c r="M1079" s="47">
        <f t="shared" si="83"/>
        <v>-3.6190907017000784E-3</v>
      </c>
      <c r="P1079" s="65">
        <v>522.85908371000005</v>
      </c>
      <c r="Q1079" s="47">
        <f t="shared" si="84"/>
        <v>-1.8340125976244792E-2</v>
      </c>
    </row>
    <row r="1080" spans="1:17" ht="14.4" x14ac:dyDescent="0.3">
      <c r="A1080" s="63">
        <v>45789</v>
      </c>
      <c r="B1080" s="64">
        <v>22511.4</v>
      </c>
      <c r="C1080" s="47">
        <f t="shared" si="80"/>
        <v>3.8561881936098663E-2</v>
      </c>
      <c r="D1080" s="65">
        <v>717.56243657000005</v>
      </c>
      <c r="E1080" s="47">
        <f t="shared" si="81"/>
        <v>5.1306037262338844E-2</v>
      </c>
      <c r="H1080" s="65">
        <v>963.98133479000001</v>
      </c>
      <c r="I1080" s="47">
        <f t="shared" si="82"/>
        <v>6.4919530223352506E-2</v>
      </c>
      <c r="L1080" s="65">
        <v>466.33684185999999</v>
      </c>
      <c r="M1080" s="47">
        <f t="shared" si="83"/>
        <v>5.9023836565976096E-2</v>
      </c>
      <c r="P1080" s="65">
        <v>602.09211716000004</v>
      </c>
      <c r="Q1080" s="47">
        <f t="shared" si="84"/>
        <v>0.15153802605435085</v>
      </c>
    </row>
    <row r="1081" spans="1:17" ht="14.4" x14ac:dyDescent="0.3">
      <c r="A1081" s="63">
        <v>45790</v>
      </c>
      <c r="B1081" s="64">
        <v>22349.4</v>
      </c>
      <c r="C1081" s="47">
        <f t="shared" si="80"/>
        <v>-7.1963538473840405E-3</v>
      </c>
      <c r="D1081" s="65">
        <v>719.96904570000004</v>
      </c>
      <c r="E1081" s="47">
        <f t="shared" si="81"/>
        <v>3.3538672139858949E-3</v>
      </c>
      <c r="H1081" s="65">
        <v>987.80278715999998</v>
      </c>
      <c r="I1081" s="47">
        <f t="shared" si="82"/>
        <v>2.4711528647169745E-2</v>
      </c>
      <c r="L1081" s="65">
        <v>465.88699924000002</v>
      </c>
      <c r="M1081" s="47">
        <f t="shared" si="83"/>
        <v>-9.6463024067705572E-4</v>
      </c>
      <c r="P1081" s="65">
        <v>602.58547352999994</v>
      </c>
      <c r="Q1081" s="47">
        <f t="shared" si="84"/>
        <v>8.1940346989917145E-4</v>
      </c>
    </row>
    <row r="1082" spans="1:17" ht="14.4" x14ac:dyDescent="0.3">
      <c r="A1082" s="63">
        <v>45791</v>
      </c>
      <c r="B1082" s="64">
        <v>22499.5</v>
      </c>
      <c r="C1082" s="47">
        <f t="shared" si="80"/>
        <v>6.7160639659229471E-3</v>
      </c>
      <c r="D1082" s="65">
        <v>724.29111923999994</v>
      </c>
      <c r="E1082" s="47">
        <f t="shared" si="81"/>
        <v>6.0031380040759252E-3</v>
      </c>
      <c r="H1082" s="65">
        <v>1003.4048541</v>
      </c>
      <c r="I1082" s="47">
        <f t="shared" si="82"/>
        <v>1.5794718483086001E-2</v>
      </c>
      <c r="L1082" s="65">
        <v>466.33684185999999</v>
      </c>
      <c r="M1082" s="47">
        <f t="shared" si="83"/>
        <v>9.6556165064454191E-4</v>
      </c>
      <c r="P1082" s="65">
        <v>627.79598417</v>
      </c>
      <c r="Q1082" s="47">
        <f t="shared" si="84"/>
        <v>4.1837235956443841E-2</v>
      </c>
    </row>
    <row r="1083" spans="1:17" ht="14.4" x14ac:dyDescent="0.3">
      <c r="A1083" s="63">
        <v>45792</v>
      </c>
      <c r="B1083" s="64">
        <v>22788.799999999999</v>
      </c>
      <c r="C1083" s="47">
        <f t="shared" si="80"/>
        <v>1.2858063512522389E-2</v>
      </c>
      <c r="D1083" s="65">
        <v>789.61336705999997</v>
      </c>
      <c r="E1083" s="47">
        <f t="shared" si="81"/>
        <v>9.0187834815015799E-2</v>
      </c>
      <c r="H1083" s="65">
        <v>1044.79708848</v>
      </c>
      <c r="I1083" s="47">
        <f t="shared" si="82"/>
        <v>4.1251778094223646E-2</v>
      </c>
      <c r="L1083" s="65">
        <v>476.33334436000001</v>
      </c>
      <c r="M1083" s="47">
        <f t="shared" si="83"/>
        <v>2.143622721320626E-2</v>
      </c>
      <c r="P1083" s="65">
        <v>647.67824599000005</v>
      </c>
      <c r="Q1083" s="47">
        <f t="shared" si="84"/>
        <v>3.1669941065784357E-2</v>
      </c>
    </row>
    <row r="1084" spans="1:17" ht="14.4" x14ac:dyDescent="0.3">
      <c r="A1084" s="63">
        <v>45793</v>
      </c>
      <c r="B1084" s="64">
        <v>22870.9</v>
      </c>
      <c r="C1084" s="47">
        <f t="shared" si="80"/>
        <v>3.6026469142738105E-3</v>
      </c>
      <c r="D1084" s="65">
        <v>786.42092637999997</v>
      </c>
      <c r="E1084" s="47">
        <f t="shared" si="81"/>
        <v>-4.0430428525881634E-3</v>
      </c>
      <c r="H1084" s="65">
        <v>1076.6902726400001</v>
      </c>
      <c r="I1084" s="47">
        <f t="shared" si="82"/>
        <v>3.0525720746790386E-2</v>
      </c>
      <c r="L1084" s="65">
        <v>472.03484828000001</v>
      </c>
      <c r="M1084" s="47">
        <f t="shared" si="83"/>
        <v>-9.0241343187414946E-3</v>
      </c>
      <c r="P1084" s="65">
        <v>663.16963609000004</v>
      </c>
      <c r="Q1084" s="47">
        <f t="shared" si="84"/>
        <v>2.3918342473153276E-2</v>
      </c>
    </row>
    <row r="1085" spans="1:17" ht="14.4" x14ac:dyDescent="0.3">
      <c r="A1085" s="63">
        <v>45796</v>
      </c>
      <c r="B1085" s="64">
        <v>22865.8</v>
      </c>
      <c r="C1085" s="47">
        <f t="shared" si="80"/>
        <v>-2.2299078741994105E-4</v>
      </c>
      <c r="D1085" s="65">
        <v>801.74464165999996</v>
      </c>
      <c r="E1085" s="47">
        <f t="shared" si="81"/>
        <v>1.9485385963134316E-2</v>
      </c>
      <c r="H1085" s="65">
        <v>1098.8383171999999</v>
      </c>
      <c r="I1085" s="47">
        <f t="shared" si="82"/>
        <v>2.0570488210777338E-2</v>
      </c>
      <c r="L1085" s="65">
        <v>503.82372624999999</v>
      </c>
      <c r="M1085" s="47">
        <f t="shared" si="83"/>
        <v>6.7344345625820257E-2</v>
      </c>
      <c r="P1085" s="65">
        <v>657.44670215999997</v>
      </c>
      <c r="Q1085" s="47">
        <f t="shared" si="84"/>
        <v>-8.6296682154238802E-3</v>
      </c>
    </row>
    <row r="1086" spans="1:17" ht="14.4" x14ac:dyDescent="0.3">
      <c r="A1086" s="63">
        <v>45797</v>
      </c>
      <c r="B1086" s="64">
        <v>22585.599999999999</v>
      </c>
      <c r="C1086" s="47">
        <f t="shared" si="80"/>
        <v>-1.2254108756308613E-2</v>
      </c>
      <c r="D1086" s="65">
        <v>770.11492166000005</v>
      </c>
      <c r="E1086" s="47">
        <f t="shared" si="81"/>
        <v>-3.945111492670661E-2</v>
      </c>
      <c r="H1086" s="65">
        <v>1095.0485406800001</v>
      </c>
      <c r="I1086" s="47">
        <f t="shared" si="82"/>
        <v>-3.448893673144493E-3</v>
      </c>
      <c r="L1086" s="65">
        <v>489.47874516000002</v>
      </c>
      <c r="M1086" s="47">
        <f t="shared" si="83"/>
        <v>-2.847222221305612E-2</v>
      </c>
      <c r="P1086" s="65">
        <v>658.97610692000001</v>
      </c>
      <c r="Q1086" s="47">
        <f t="shared" si="84"/>
        <v>2.3262794610958704E-3</v>
      </c>
    </row>
    <row r="1087" spans="1:17" ht="14.4" x14ac:dyDescent="0.3">
      <c r="A1087" s="63">
        <v>45798</v>
      </c>
      <c r="B1087" s="64">
        <v>22730.65</v>
      </c>
      <c r="C1087" s="47">
        <f t="shared" si="80"/>
        <v>6.4222336355910237E-3</v>
      </c>
      <c r="D1087" s="65">
        <v>783.32671463999998</v>
      </c>
      <c r="E1087" s="47">
        <f t="shared" si="81"/>
        <v>1.7155612244886376E-2</v>
      </c>
      <c r="H1087" s="65">
        <v>1069.06150174</v>
      </c>
      <c r="I1087" s="47">
        <f t="shared" si="82"/>
        <v>-2.3731403654364658E-2</v>
      </c>
      <c r="L1087" s="65">
        <v>496.17640182999997</v>
      </c>
      <c r="M1087" s="47">
        <f t="shared" si="83"/>
        <v>1.3683243115716115E-2</v>
      </c>
      <c r="P1087" s="65">
        <v>653.40117991</v>
      </c>
      <c r="Q1087" s="47">
        <f t="shared" si="84"/>
        <v>-8.4599835281687907E-3</v>
      </c>
    </row>
    <row r="1088" spans="1:17" ht="14.4" x14ac:dyDescent="0.3">
      <c r="A1088" s="63">
        <v>45799</v>
      </c>
      <c r="B1088" s="64">
        <v>22595</v>
      </c>
      <c r="C1088" s="47">
        <f t="shared" si="80"/>
        <v>-5.967713197818858E-3</v>
      </c>
      <c r="D1088" s="65">
        <v>799.48537594000004</v>
      </c>
      <c r="E1088" s="47">
        <f t="shared" si="81"/>
        <v>2.0628252551588622E-2</v>
      </c>
      <c r="H1088" s="65">
        <v>1086.73071951</v>
      </c>
      <c r="I1088" s="47">
        <f t="shared" si="82"/>
        <v>1.6527784174475979E-2</v>
      </c>
      <c r="L1088" s="65">
        <v>501.07468806000003</v>
      </c>
      <c r="M1088" s="47">
        <f t="shared" si="83"/>
        <v>9.8720660876538968E-3</v>
      </c>
      <c r="P1088" s="65">
        <v>653.69719372999998</v>
      </c>
      <c r="Q1088" s="47">
        <f t="shared" si="84"/>
        <v>4.5303533128104867E-4</v>
      </c>
    </row>
    <row r="1089" spans="1:17" ht="14.4" x14ac:dyDescent="0.3">
      <c r="A1089" s="63">
        <v>45800</v>
      </c>
      <c r="B1089" s="64">
        <v>22781.05</v>
      </c>
      <c r="C1089" s="47">
        <f t="shared" si="80"/>
        <v>8.2341225934940976E-3</v>
      </c>
      <c r="D1089" s="65">
        <v>800.71323774999996</v>
      </c>
      <c r="E1089" s="47">
        <f t="shared" si="81"/>
        <v>1.5358152218309939E-3</v>
      </c>
      <c r="H1089" s="65">
        <v>1089.1916133499999</v>
      </c>
      <c r="I1089" s="47">
        <f t="shared" si="82"/>
        <v>2.2644927541106696E-3</v>
      </c>
      <c r="L1089" s="65">
        <v>493.6272937</v>
      </c>
      <c r="M1089" s="47">
        <f t="shared" si="83"/>
        <v>-1.4862842880437488E-2</v>
      </c>
      <c r="P1089" s="65">
        <v>656.36131813999998</v>
      </c>
      <c r="Q1089" s="47">
        <f t="shared" si="84"/>
        <v>4.0754716947741798E-3</v>
      </c>
    </row>
    <row r="1090" spans="1:17" ht="14.4" x14ac:dyDescent="0.3">
      <c r="A1090" s="63">
        <v>45803</v>
      </c>
      <c r="B1090" s="64">
        <v>22908.3</v>
      </c>
      <c r="C1090" s="47">
        <f t="shared" si="80"/>
        <v>5.5857829204535303E-3</v>
      </c>
      <c r="D1090" s="65">
        <v>846.19323885999995</v>
      </c>
      <c r="E1090" s="47">
        <f t="shared" si="81"/>
        <v>5.6799362075989457E-2</v>
      </c>
      <c r="H1090" s="65">
        <v>1100.26563562</v>
      </c>
      <c r="I1090" s="47">
        <f t="shared" si="82"/>
        <v>1.0167193847499423E-2</v>
      </c>
      <c r="L1090" s="65">
        <v>503.32390113000002</v>
      </c>
      <c r="M1090" s="47">
        <f t="shared" si="83"/>
        <v>1.9643580397102456E-2</v>
      </c>
      <c r="P1090" s="65">
        <v>669.04057692000003</v>
      </c>
      <c r="Q1090" s="47">
        <f t="shared" si="84"/>
        <v>1.931749850209119E-2</v>
      </c>
    </row>
    <row r="1091" spans="1:17" ht="14.4" x14ac:dyDescent="0.3">
      <c r="A1091" s="63">
        <v>45804</v>
      </c>
      <c r="B1091" s="64">
        <v>22816.5</v>
      </c>
      <c r="C1091" s="47">
        <f t="shared" si="80"/>
        <v>-4.0072812037558192E-3</v>
      </c>
      <c r="D1091" s="65">
        <v>846.43881122000005</v>
      </c>
      <c r="E1091" s="47">
        <f t="shared" si="81"/>
        <v>2.90208369344791E-4</v>
      </c>
      <c r="H1091" s="65">
        <v>1099.2812780899999</v>
      </c>
      <c r="I1091" s="47">
        <f t="shared" si="82"/>
        <v>-8.9465443446790083E-4</v>
      </c>
      <c r="L1091" s="65">
        <v>496.97612203</v>
      </c>
      <c r="M1091" s="47">
        <f t="shared" si="83"/>
        <v>-1.261171799262617E-2</v>
      </c>
      <c r="P1091" s="65">
        <v>673.28344173000005</v>
      </c>
      <c r="Q1091" s="47">
        <f t="shared" si="84"/>
        <v>6.3417152208202765E-3</v>
      </c>
    </row>
    <row r="1092" spans="1:17" ht="14.4" x14ac:dyDescent="0.3">
      <c r="A1092" s="63">
        <v>45805</v>
      </c>
      <c r="B1092" s="64">
        <v>22779.4</v>
      </c>
      <c r="C1092" s="47">
        <f t="shared" ref="C1092:C1155" si="85">B1092/B1091-1</f>
        <v>-1.6260162601625661E-3</v>
      </c>
      <c r="D1092" s="65">
        <v>859.60148973000003</v>
      </c>
      <c r="E1092" s="47">
        <f t="shared" ref="E1092:E1155" si="86">D1092/D1091-1</f>
        <v>1.5550655682988079E-2</v>
      </c>
      <c r="H1092" s="65">
        <v>1109.02641769</v>
      </c>
      <c r="I1092" s="47">
        <f t="shared" ref="I1092:I1155" si="87">H1092/H1091-1</f>
        <v>8.8650100699725343E-3</v>
      </c>
      <c r="L1092" s="65">
        <v>494.07713631000001</v>
      </c>
      <c r="M1092" s="47">
        <f t="shared" ref="M1092:M1155" si="88">L1092/L1091-1</f>
        <v>-5.8332495093698089E-3</v>
      </c>
      <c r="P1092" s="65">
        <v>660.85086114000001</v>
      </c>
      <c r="Q1092" s="47">
        <f t="shared" ref="Q1092:Q1155" si="89">P1092/P1091-1</f>
        <v>-1.8465596834008835E-2</v>
      </c>
    </row>
    <row r="1093" spans="1:17" ht="14.4" x14ac:dyDescent="0.3">
      <c r="A1093" s="63">
        <v>45806</v>
      </c>
      <c r="B1093" s="64">
        <v>22861.35</v>
      </c>
      <c r="C1093" s="47">
        <f t="shared" si="85"/>
        <v>3.5975486623878172E-3</v>
      </c>
      <c r="D1093" s="65">
        <v>849.53302296000004</v>
      </c>
      <c r="E1093" s="47">
        <f t="shared" si="86"/>
        <v>-1.1712947092684223E-2</v>
      </c>
      <c r="H1093" s="65">
        <v>1099.4781496000001</v>
      </c>
      <c r="I1093" s="47">
        <f t="shared" si="87"/>
        <v>-8.6095948100930464E-3</v>
      </c>
      <c r="L1093" s="65">
        <v>500.22498535</v>
      </c>
      <c r="M1093" s="47">
        <f t="shared" si="88"/>
        <v>1.2443095598219767E-2</v>
      </c>
      <c r="P1093" s="65">
        <v>666.27778122999996</v>
      </c>
      <c r="Q1093" s="47">
        <f t="shared" si="89"/>
        <v>8.2120193966883637E-3</v>
      </c>
    </row>
    <row r="1094" spans="1:17" ht="14.4" x14ac:dyDescent="0.3">
      <c r="A1094" s="63">
        <v>45807</v>
      </c>
      <c r="B1094" s="64">
        <v>22801.95</v>
      </c>
      <c r="C1094" s="47">
        <f t="shared" si="85"/>
        <v>-2.5982717556048973E-3</v>
      </c>
      <c r="D1094" s="65">
        <v>817.65773060000004</v>
      </c>
      <c r="E1094" s="47">
        <f t="shared" si="86"/>
        <v>-3.7520957394849619E-2</v>
      </c>
      <c r="H1094" s="65">
        <v>1120.9371438799999</v>
      </c>
      <c r="I1094" s="47">
        <f t="shared" si="87"/>
        <v>1.9517435874288891E-2</v>
      </c>
      <c r="L1094" s="65">
        <v>491.42806314000001</v>
      </c>
      <c r="M1094" s="47">
        <f t="shared" si="88"/>
        <v>-1.7585931266198007E-2</v>
      </c>
      <c r="P1094" s="65">
        <v>677.57564217000004</v>
      </c>
      <c r="Q1094" s="47">
        <f t="shared" si="89"/>
        <v>1.695668272044637E-2</v>
      </c>
    </row>
    <row r="1095" spans="1:17" ht="14.4" x14ac:dyDescent="0.3">
      <c r="A1095" s="63">
        <v>45810</v>
      </c>
      <c r="B1095" s="64">
        <v>22834.5</v>
      </c>
      <c r="C1095" s="47">
        <f t="shared" si="85"/>
        <v>1.4275094893199114E-3</v>
      </c>
      <c r="D1095" s="65">
        <v>847.76490195999997</v>
      </c>
      <c r="E1095" s="47">
        <f t="shared" si="86"/>
        <v>3.6821239784410986E-2</v>
      </c>
      <c r="H1095" s="65">
        <v>1132.50334492</v>
      </c>
      <c r="I1095" s="47">
        <f t="shared" si="87"/>
        <v>1.0318331498914368E-2</v>
      </c>
      <c r="L1095" s="65">
        <v>485.73005671999999</v>
      </c>
      <c r="M1095" s="47">
        <f t="shared" si="88"/>
        <v>-1.1594792498402229E-2</v>
      </c>
      <c r="P1095" s="65">
        <v>663.66299246000005</v>
      </c>
      <c r="Q1095" s="47">
        <f t="shared" si="89"/>
        <v>-2.0532983838444041E-2</v>
      </c>
    </row>
    <row r="1096" spans="1:17" ht="14.4" x14ac:dyDescent="0.3">
      <c r="A1096" s="63">
        <v>45811</v>
      </c>
      <c r="B1096" s="64">
        <v>22711.3</v>
      </c>
      <c r="C1096" s="47">
        <f t="shared" si="85"/>
        <v>-5.3953447634063068E-3</v>
      </c>
      <c r="D1096" s="65">
        <v>855.13207277000004</v>
      </c>
      <c r="E1096" s="47">
        <f t="shared" si="86"/>
        <v>8.6901106579990728E-3</v>
      </c>
      <c r="H1096" s="65">
        <v>1160.16379168</v>
      </c>
      <c r="I1096" s="47">
        <f t="shared" si="87"/>
        <v>2.4424163411149946E-2</v>
      </c>
      <c r="L1096" s="65">
        <v>490.07853531000001</v>
      </c>
      <c r="M1096" s="47">
        <f t="shared" si="88"/>
        <v>8.9524593544079156E-3</v>
      </c>
      <c r="P1096" s="65">
        <v>646.88887579000004</v>
      </c>
      <c r="Q1096" s="47">
        <f t="shared" si="89"/>
        <v>-2.5275052037817214E-2</v>
      </c>
    </row>
    <row r="1097" spans="1:17" ht="14.4" x14ac:dyDescent="0.3">
      <c r="A1097" s="63">
        <v>45812</v>
      </c>
      <c r="B1097" s="64">
        <v>22807.85</v>
      </c>
      <c r="C1097" s="47">
        <f t="shared" si="85"/>
        <v>4.2511877347399807E-3</v>
      </c>
      <c r="D1097" s="65">
        <v>865.29876848000004</v>
      </c>
      <c r="E1097" s="47">
        <f t="shared" si="86"/>
        <v>1.1889035663306791E-2</v>
      </c>
      <c r="H1097" s="65">
        <v>1151.59988112</v>
      </c>
      <c r="I1097" s="47">
        <f t="shared" si="87"/>
        <v>-7.3816392318182267E-3</v>
      </c>
      <c r="L1097" s="65">
        <v>495.57661167999998</v>
      </c>
      <c r="M1097" s="47">
        <f t="shared" si="88"/>
        <v>1.1218765919878804E-2</v>
      </c>
      <c r="P1097" s="65">
        <v>644.76744339000004</v>
      </c>
      <c r="Q1097" s="47">
        <f t="shared" si="89"/>
        <v>-3.2794386785662821E-3</v>
      </c>
    </row>
    <row r="1098" spans="1:17" ht="14.4" x14ac:dyDescent="0.3">
      <c r="A1098" s="63">
        <v>45813</v>
      </c>
      <c r="B1098" s="64">
        <v>22934.5</v>
      </c>
      <c r="C1098" s="47">
        <f t="shared" si="85"/>
        <v>5.5529127033018266E-3</v>
      </c>
      <c r="D1098" s="65">
        <v>855.03384383000002</v>
      </c>
      <c r="E1098" s="47">
        <f t="shared" si="86"/>
        <v>-1.1862867513415698E-2</v>
      </c>
      <c r="H1098" s="65">
        <v>1131.81429465</v>
      </c>
      <c r="I1098" s="47">
        <f t="shared" si="87"/>
        <v>-1.718095563778399E-2</v>
      </c>
      <c r="L1098" s="65">
        <v>487.27951460000003</v>
      </c>
      <c r="M1098" s="47">
        <f t="shared" si="88"/>
        <v>-1.6742309633767549E-2</v>
      </c>
      <c r="P1098" s="65">
        <v>642.34999716000004</v>
      </c>
      <c r="Q1098" s="47">
        <f t="shared" si="89"/>
        <v>-3.7493304830804597E-3</v>
      </c>
    </row>
    <row r="1099" spans="1:17" ht="14.4" x14ac:dyDescent="0.3">
      <c r="A1099" s="63">
        <v>45814</v>
      </c>
      <c r="B1099" s="64">
        <v>23165.1</v>
      </c>
      <c r="C1099" s="47">
        <f t="shared" si="85"/>
        <v>1.0054721053434745E-2</v>
      </c>
      <c r="D1099" s="65">
        <v>873.50088531999995</v>
      </c>
      <c r="E1099" s="47">
        <f t="shared" si="86"/>
        <v>2.1598024011867833E-2</v>
      </c>
      <c r="H1099" s="65">
        <v>1131.81429465</v>
      </c>
      <c r="I1099" s="47">
        <f t="shared" si="87"/>
        <v>0</v>
      </c>
      <c r="L1099" s="65">
        <v>486.57975943000002</v>
      </c>
      <c r="M1099" s="47">
        <f t="shared" si="88"/>
        <v>-1.4360447115746577E-3</v>
      </c>
      <c r="P1099" s="65">
        <v>645.01412157000004</v>
      </c>
      <c r="Q1099" s="47">
        <f t="shared" si="89"/>
        <v>4.1474654343873762E-3</v>
      </c>
    </row>
    <row r="1100" spans="1:17" ht="14.4" x14ac:dyDescent="0.3">
      <c r="A1100" s="63">
        <v>45817</v>
      </c>
      <c r="B1100" s="64">
        <v>23330.55</v>
      </c>
      <c r="C1100" s="47">
        <f t="shared" si="85"/>
        <v>7.1422096170532523E-3</v>
      </c>
      <c r="D1100" s="65">
        <v>905.17971978000003</v>
      </c>
      <c r="E1100" s="47">
        <f t="shared" si="86"/>
        <v>3.626651671726111E-2</v>
      </c>
      <c r="H1100" s="65">
        <v>1169.0230094999999</v>
      </c>
      <c r="I1100" s="47">
        <f t="shared" si="87"/>
        <v>3.2875282655363769E-2</v>
      </c>
      <c r="L1100" s="65">
        <v>523.71676623999997</v>
      </c>
      <c r="M1100" s="47">
        <f t="shared" si="88"/>
        <v>7.6322547517191808E-2</v>
      </c>
      <c r="P1100" s="65">
        <v>653.35184427000002</v>
      </c>
      <c r="Q1100" s="47">
        <f t="shared" si="89"/>
        <v>1.2926418850653265E-2</v>
      </c>
    </row>
    <row r="1101" spans="1:17" ht="14.4" x14ac:dyDescent="0.3">
      <c r="A1101" s="63">
        <v>45818</v>
      </c>
      <c r="B1101" s="64">
        <v>23339.95</v>
      </c>
      <c r="C1101" s="47">
        <f t="shared" si="85"/>
        <v>4.029052036922387E-4</v>
      </c>
      <c r="D1101" s="65">
        <v>895.65151220999996</v>
      </c>
      <c r="E1101" s="47">
        <f t="shared" si="86"/>
        <v>-1.0526315782147466E-2</v>
      </c>
      <c r="H1101" s="65">
        <v>1151.10770235</v>
      </c>
      <c r="I1101" s="47">
        <f t="shared" si="87"/>
        <v>-1.5325025259906977E-2</v>
      </c>
      <c r="L1101" s="65">
        <v>526.41582190999998</v>
      </c>
      <c r="M1101" s="47">
        <f t="shared" si="88"/>
        <v>5.1536552655699897E-3</v>
      </c>
      <c r="P1101" s="65">
        <v>653.40117991</v>
      </c>
      <c r="Q1101" s="47">
        <f t="shared" si="89"/>
        <v>7.5511595218902272E-5</v>
      </c>
    </row>
    <row r="1102" spans="1:17" ht="14.4" x14ac:dyDescent="0.3">
      <c r="A1102" s="63">
        <v>45819</v>
      </c>
      <c r="B1102" s="64">
        <v>23337.85</v>
      </c>
      <c r="C1102" s="47">
        <f t="shared" si="85"/>
        <v>-8.9974485806609827E-5</v>
      </c>
      <c r="D1102" s="65">
        <v>898.45103711000002</v>
      </c>
      <c r="E1102" s="47">
        <f t="shared" si="86"/>
        <v>3.1256854500165687E-3</v>
      </c>
      <c r="H1102" s="65">
        <v>1160.55753469</v>
      </c>
      <c r="I1102" s="47">
        <f t="shared" si="87"/>
        <v>8.2093381190206927E-3</v>
      </c>
      <c r="L1102" s="65">
        <v>514.07014131999995</v>
      </c>
      <c r="M1102" s="47">
        <f t="shared" si="88"/>
        <v>-2.3452335731867002E-2</v>
      </c>
      <c r="P1102" s="65">
        <v>665.24173284999995</v>
      </c>
      <c r="Q1102" s="47">
        <f t="shared" si="89"/>
        <v>1.8121413465508107E-2</v>
      </c>
    </row>
    <row r="1103" spans="1:17" ht="14.4" x14ac:dyDescent="0.3">
      <c r="A1103" s="63">
        <v>45820</v>
      </c>
      <c r="B1103" s="64">
        <v>23046.45</v>
      </c>
      <c r="C1103" s="47">
        <f t="shared" si="85"/>
        <v>-1.2486154465814026E-2</v>
      </c>
      <c r="D1103" s="65">
        <v>870.84870382999998</v>
      </c>
      <c r="E1103" s="47">
        <f t="shared" si="86"/>
        <v>-3.072213413964886E-2</v>
      </c>
      <c r="H1103" s="65">
        <v>1147.9577582300001</v>
      </c>
      <c r="I1103" s="47">
        <f t="shared" si="87"/>
        <v>-1.0856658186589208E-2</v>
      </c>
      <c r="L1103" s="65">
        <v>508.32215237999998</v>
      </c>
      <c r="M1103" s="47">
        <f t="shared" si="88"/>
        <v>-1.1181332036209302E-2</v>
      </c>
      <c r="P1103" s="65">
        <v>665.98176740999997</v>
      </c>
      <c r="Q1103" s="47">
        <f t="shared" si="89"/>
        <v>1.1124295477218382E-3</v>
      </c>
    </row>
    <row r="1104" spans="1:17" ht="14.4" x14ac:dyDescent="0.3">
      <c r="A1104" s="63">
        <v>45821</v>
      </c>
      <c r="B1104" s="64">
        <v>22906.2</v>
      </c>
      <c r="C1104" s="47">
        <f t="shared" si="85"/>
        <v>-6.0855359502223205E-3</v>
      </c>
      <c r="D1104" s="65">
        <v>860.09263444999999</v>
      </c>
      <c r="E1104" s="47">
        <f t="shared" si="86"/>
        <v>-1.2351249226983607E-2</v>
      </c>
      <c r="H1104" s="65">
        <v>1142.9375348000001</v>
      </c>
      <c r="I1104" s="47">
        <f t="shared" si="87"/>
        <v>-4.373177840394149E-3</v>
      </c>
      <c r="L1104" s="65">
        <v>510.47140042000001</v>
      </c>
      <c r="M1104" s="47">
        <f t="shared" si="88"/>
        <v>4.2281219300341899E-3</v>
      </c>
      <c r="P1104" s="65">
        <v>648.27027363000002</v>
      </c>
      <c r="Q1104" s="47">
        <f t="shared" si="89"/>
        <v>-2.6594562564197344E-2</v>
      </c>
    </row>
    <row r="1105" spans="1:17" ht="14.4" x14ac:dyDescent="0.3">
      <c r="A1105" s="63">
        <v>45824</v>
      </c>
      <c r="B1105" s="64">
        <v>23095.05</v>
      </c>
      <c r="C1105" s="47">
        <f t="shared" si="85"/>
        <v>8.2444927574192306E-3</v>
      </c>
      <c r="D1105" s="65">
        <v>884.84632836000003</v>
      </c>
      <c r="E1105" s="47">
        <f t="shared" si="86"/>
        <v>2.8780264960447166E-2</v>
      </c>
      <c r="H1105" s="65">
        <v>1157.2107190700001</v>
      </c>
      <c r="I1105" s="47">
        <f t="shared" si="87"/>
        <v>1.2488157782391429E-2</v>
      </c>
      <c r="L1105" s="65">
        <v>515.26972162000004</v>
      </c>
      <c r="M1105" s="47">
        <f t="shared" si="88"/>
        <v>9.3997845835283034E-3</v>
      </c>
      <c r="P1105" s="65">
        <v>644.76744339000004</v>
      </c>
      <c r="Q1105" s="47">
        <f t="shared" si="89"/>
        <v>-5.4033485453309771E-3</v>
      </c>
    </row>
    <row r="1106" spans="1:17" ht="14.4" x14ac:dyDescent="0.3">
      <c r="A1106" s="63">
        <v>45825</v>
      </c>
      <c r="B1106" s="64">
        <v>22981.5</v>
      </c>
      <c r="C1106" s="47">
        <f t="shared" si="85"/>
        <v>-4.9166379808659455E-3</v>
      </c>
      <c r="D1106" s="65">
        <v>874.97431947999996</v>
      </c>
      <c r="E1106" s="47">
        <f t="shared" si="86"/>
        <v>-1.1156749554803613E-2</v>
      </c>
      <c r="H1106" s="65">
        <v>1184.7727300700001</v>
      </c>
      <c r="I1106" s="47">
        <f t="shared" si="87"/>
        <v>2.3817625040796653E-2</v>
      </c>
      <c r="L1106" s="65">
        <v>499.92509027</v>
      </c>
      <c r="M1106" s="47">
        <f t="shared" si="88"/>
        <v>-2.9779804064086535E-2</v>
      </c>
      <c r="P1106" s="65">
        <v>658.48275054999999</v>
      </c>
      <c r="Q1106" s="47">
        <f t="shared" si="89"/>
        <v>2.1271711685517003E-2</v>
      </c>
    </row>
    <row r="1107" spans="1:17" ht="14.4" x14ac:dyDescent="0.3">
      <c r="A1107" s="63">
        <v>45826</v>
      </c>
      <c r="B1107" s="64">
        <v>22925.200000000001</v>
      </c>
      <c r="C1107" s="47">
        <f t="shared" si="85"/>
        <v>-2.4497965755063689E-3</v>
      </c>
      <c r="D1107" s="65">
        <v>878.65790488000005</v>
      </c>
      <c r="E1107" s="47">
        <f t="shared" si="86"/>
        <v>4.2099354438074332E-3</v>
      </c>
      <c r="H1107" s="65">
        <v>1182.41027199</v>
      </c>
      <c r="I1107" s="47">
        <f t="shared" si="87"/>
        <v>-1.9940179411966907E-3</v>
      </c>
      <c r="L1107" s="65">
        <v>490.42841289</v>
      </c>
      <c r="M1107" s="47">
        <f t="shared" si="88"/>
        <v>-1.8996200760539983E-2</v>
      </c>
      <c r="P1107" s="65">
        <v>655.37460539999995</v>
      </c>
      <c r="Q1107" s="47">
        <f t="shared" si="89"/>
        <v>-4.7201618378066579E-3</v>
      </c>
    </row>
    <row r="1108" spans="1:17" ht="14.4" x14ac:dyDescent="0.3">
      <c r="A1108" s="63">
        <v>45827</v>
      </c>
      <c r="B1108" s="64">
        <v>22763.5</v>
      </c>
      <c r="C1108" s="47">
        <f t="shared" si="85"/>
        <v>-7.0533735801651121E-3</v>
      </c>
      <c r="D1108" s="65">
        <v>872.86239718000002</v>
      </c>
      <c r="E1108" s="47">
        <f t="shared" si="86"/>
        <v>-6.5958636095029277E-3</v>
      </c>
      <c r="H1108" s="65">
        <v>1173.5510541599999</v>
      </c>
      <c r="I1108" s="47">
        <f t="shared" si="87"/>
        <v>-7.492507499186285E-3</v>
      </c>
      <c r="L1108" s="65">
        <v>475.43365913999997</v>
      </c>
      <c r="M1108" s="47">
        <f t="shared" si="88"/>
        <v>-3.0574806344597416E-2</v>
      </c>
      <c r="P1108" s="65">
        <v>651.47709006000002</v>
      </c>
      <c r="Q1108" s="47">
        <f t="shared" si="89"/>
        <v>-5.9470039087357041E-3</v>
      </c>
    </row>
    <row r="1109" spans="1:17" ht="14.4" x14ac:dyDescent="0.3">
      <c r="A1109" s="63">
        <v>45828</v>
      </c>
      <c r="B1109" s="64">
        <v>23041.1</v>
      </c>
      <c r="C1109" s="47">
        <f t="shared" si="85"/>
        <v>1.219496123179642E-2</v>
      </c>
      <c r="D1109" s="65">
        <v>881.50654426000006</v>
      </c>
      <c r="E1109" s="47">
        <f t="shared" si="86"/>
        <v>9.9032185461616073E-3</v>
      </c>
      <c r="H1109" s="65">
        <v>1142.0516130200001</v>
      </c>
      <c r="I1109" s="47">
        <f t="shared" si="87"/>
        <v>-2.6841134033615877E-2</v>
      </c>
      <c r="L1109" s="65">
        <v>482.28126335000002</v>
      </c>
      <c r="M1109" s="47">
        <f t="shared" si="88"/>
        <v>1.4402859533307888E-2</v>
      </c>
      <c r="P1109" s="65">
        <v>659.86414838999997</v>
      </c>
      <c r="Q1109" s="47">
        <f t="shared" si="89"/>
        <v>1.2873911389926995E-2</v>
      </c>
    </row>
    <row r="1110" spans="1:17" ht="14.4" x14ac:dyDescent="0.3">
      <c r="A1110" s="63">
        <v>45831</v>
      </c>
      <c r="B1110" s="64">
        <v>23001.5</v>
      </c>
      <c r="C1110" s="47">
        <f t="shared" si="85"/>
        <v>-1.7186679455407639E-3</v>
      </c>
      <c r="D1110" s="65">
        <v>868.34386574999996</v>
      </c>
      <c r="E1110" s="47">
        <f t="shared" si="86"/>
        <v>-1.4932025854725528E-2</v>
      </c>
      <c r="H1110" s="65">
        <v>1179.5512191299999</v>
      </c>
      <c r="I1110" s="47">
        <f t="shared" si="87"/>
        <v>3.2835298932626378E-2</v>
      </c>
      <c r="L1110" s="65">
        <v>492.02785329</v>
      </c>
      <c r="M1110" s="47">
        <f t="shared" si="88"/>
        <v>2.0209348114207604E-2</v>
      </c>
      <c r="P1110" s="65">
        <v>661.39355315</v>
      </c>
      <c r="Q1110" s="47">
        <f t="shared" si="89"/>
        <v>2.3177570167005612E-3</v>
      </c>
    </row>
    <row r="1111" spans="1:17" ht="14.4" x14ac:dyDescent="0.3">
      <c r="A1111" s="63">
        <v>45832</v>
      </c>
      <c r="B1111" s="64">
        <v>23113.200000000001</v>
      </c>
      <c r="C1111" s="47">
        <f t="shared" si="85"/>
        <v>4.8562050301068638E-3</v>
      </c>
      <c r="D1111" s="65">
        <v>872.96062612000003</v>
      </c>
      <c r="E1111" s="47">
        <f t="shared" si="86"/>
        <v>5.3167420789141939E-3</v>
      </c>
      <c r="H1111" s="65">
        <v>1171.3171778200001</v>
      </c>
      <c r="I1111" s="47">
        <f t="shared" si="87"/>
        <v>-6.9806560126087769E-3</v>
      </c>
      <c r="L1111" s="65">
        <v>491.72795822</v>
      </c>
      <c r="M1111" s="47">
        <f t="shared" si="88"/>
        <v>-6.0950831948780593E-4</v>
      </c>
      <c r="P1111" s="65">
        <v>670.32330348999994</v>
      </c>
      <c r="Q1111" s="47">
        <f t="shared" si="89"/>
        <v>1.3501417268841687E-2</v>
      </c>
    </row>
    <row r="1112" spans="1:17" ht="14.4" x14ac:dyDescent="0.3">
      <c r="A1112" s="63">
        <v>45833</v>
      </c>
      <c r="B1112" s="64">
        <v>23296.85</v>
      </c>
      <c r="C1112" s="47">
        <f t="shared" si="85"/>
        <v>7.9456760638940693E-3</v>
      </c>
      <c r="D1112" s="65">
        <v>911.26991432</v>
      </c>
      <c r="E1112" s="47">
        <f t="shared" si="86"/>
        <v>4.3884325425158188E-2</v>
      </c>
      <c r="H1112" s="65">
        <v>1220.2253991</v>
      </c>
      <c r="I1112" s="47">
        <f t="shared" si="87"/>
        <v>4.1754891165367791E-2</v>
      </c>
      <c r="L1112" s="65">
        <v>500.07503781000003</v>
      </c>
      <c r="M1112" s="47">
        <f t="shared" si="88"/>
        <v>1.6974994914292774E-2</v>
      </c>
      <c r="P1112" s="65">
        <v>676.34225124</v>
      </c>
      <c r="Q1112" s="47">
        <f t="shared" si="89"/>
        <v>8.9791712725229011E-3</v>
      </c>
    </row>
    <row r="1113" spans="1:17" ht="14.4" x14ac:dyDescent="0.3">
      <c r="A1113" s="63">
        <v>45834</v>
      </c>
      <c r="B1113" s="64">
        <v>23517.55</v>
      </c>
      <c r="C1113" s="47">
        <f t="shared" si="85"/>
        <v>9.4733837407203758E-3</v>
      </c>
      <c r="D1113" s="65">
        <v>917.50745227000004</v>
      </c>
      <c r="E1113" s="47">
        <f t="shared" si="86"/>
        <v>6.8448852002915839E-3</v>
      </c>
      <c r="H1113" s="65">
        <v>1216.2571864199999</v>
      </c>
      <c r="I1113" s="47">
        <f t="shared" si="87"/>
        <v>-3.2520325203252431E-3</v>
      </c>
      <c r="L1113" s="65">
        <v>493.37738113</v>
      </c>
      <c r="M1113" s="47">
        <f t="shared" si="88"/>
        <v>-1.339330335169564E-2</v>
      </c>
      <c r="P1113" s="65">
        <v>670.12596094000003</v>
      </c>
      <c r="Q1113" s="47">
        <f t="shared" si="89"/>
        <v>-9.1910423880854353E-3</v>
      </c>
    </row>
    <row r="1114" spans="1:17" ht="14.4" x14ac:dyDescent="0.3">
      <c r="A1114" s="63">
        <v>45835</v>
      </c>
      <c r="B1114" s="64">
        <v>23620.15</v>
      </c>
      <c r="C1114" s="47">
        <f t="shared" si="85"/>
        <v>4.3626993458079077E-3</v>
      </c>
      <c r="D1114" s="65">
        <v>890.00334792000001</v>
      </c>
      <c r="E1114" s="47">
        <f t="shared" si="86"/>
        <v>-2.9976981965598504E-2</v>
      </c>
      <c r="H1114" s="65">
        <v>1217.2492395899999</v>
      </c>
      <c r="I1114" s="47">
        <f t="shared" si="87"/>
        <v>8.1566068515503964E-4</v>
      </c>
      <c r="L1114" s="65">
        <v>498.87545750999999</v>
      </c>
      <c r="M1114" s="47">
        <f t="shared" si="88"/>
        <v>1.1143754436832021E-2</v>
      </c>
      <c r="P1114" s="65">
        <v>675.99690178000003</v>
      </c>
      <c r="Q1114" s="47">
        <f t="shared" si="89"/>
        <v>8.7609511975401677E-3</v>
      </c>
    </row>
    <row r="1115" spans="1:17" ht="14.4" x14ac:dyDescent="0.3">
      <c r="A1115" s="63">
        <v>45838</v>
      </c>
      <c r="B1115" s="64">
        <v>23617.200000000001</v>
      </c>
      <c r="C1115" s="47">
        <f t="shared" si="85"/>
        <v>-1.2489336435206333E-4</v>
      </c>
      <c r="D1115" s="65">
        <v>902.18373699000006</v>
      </c>
      <c r="E1115" s="47">
        <f t="shared" si="86"/>
        <v>1.3685778933828052E-2</v>
      </c>
      <c r="H1115" s="65">
        <v>1217.44765022</v>
      </c>
      <c r="I1115" s="47">
        <f t="shared" si="87"/>
        <v>1.6299918171802652E-4</v>
      </c>
      <c r="L1115" s="65">
        <v>507.92229228000002</v>
      </c>
      <c r="M1115" s="47">
        <f t="shared" si="88"/>
        <v>1.813445547142134E-2</v>
      </c>
      <c r="P1115" s="65">
        <v>679.35172510999996</v>
      </c>
      <c r="Q1115" s="47">
        <f t="shared" si="89"/>
        <v>4.9627791505644225E-3</v>
      </c>
    </row>
    <row r="1116" spans="1:17" ht="14.4" x14ac:dyDescent="0.3">
      <c r="A1116" s="63">
        <v>45839</v>
      </c>
      <c r="B1116" s="64">
        <v>23615.45</v>
      </c>
      <c r="C1116" s="47">
        <f t="shared" si="85"/>
        <v>-7.4098538353384313E-5</v>
      </c>
      <c r="D1116" s="65">
        <v>893.68693332999999</v>
      </c>
      <c r="E1116" s="47">
        <f t="shared" si="86"/>
        <v>-9.4180412610277431E-3</v>
      </c>
      <c r="H1116" s="65">
        <v>1193.24155288</v>
      </c>
      <c r="I1116" s="47">
        <f t="shared" si="87"/>
        <v>-1.9882659706662476E-2</v>
      </c>
      <c r="L1116" s="65">
        <v>509.12187258</v>
      </c>
      <c r="M1116" s="47">
        <f t="shared" si="88"/>
        <v>2.361739813811381E-3</v>
      </c>
      <c r="P1116" s="65">
        <v>661.44288877999998</v>
      </c>
      <c r="Q1116" s="47">
        <f t="shared" si="89"/>
        <v>-2.6361655778676663E-2</v>
      </c>
    </row>
    <row r="1117" spans="1:17" ht="14.4" x14ac:dyDescent="0.3">
      <c r="A1117" s="63">
        <v>45840</v>
      </c>
      <c r="B1117" s="64">
        <v>23547.25</v>
      </c>
      <c r="C1117" s="47">
        <f t="shared" si="85"/>
        <v>-2.8879398868114636E-3</v>
      </c>
      <c r="D1117" s="65">
        <v>887.54762431999995</v>
      </c>
      <c r="E1117" s="47">
        <f t="shared" si="86"/>
        <v>-6.8696416843917474E-3</v>
      </c>
      <c r="H1117" s="65">
        <v>1186.3963859999999</v>
      </c>
      <c r="I1117" s="47">
        <f t="shared" si="87"/>
        <v>-5.7366145718598105E-3</v>
      </c>
      <c r="L1117" s="65">
        <v>496.12641932000002</v>
      </c>
      <c r="M1117" s="47">
        <f t="shared" si="88"/>
        <v>-2.5525230715673031E-2</v>
      </c>
      <c r="P1117" s="65">
        <v>659.46946329000002</v>
      </c>
      <c r="Q1117" s="47">
        <f t="shared" si="89"/>
        <v>-2.9835160729293486E-3</v>
      </c>
    </row>
    <row r="1118" spans="1:17" ht="14.4" x14ac:dyDescent="0.3">
      <c r="A1118" s="63">
        <v>45841</v>
      </c>
      <c r="B1118" s="64">
        <v>23521.85</v>
      </c>
      <c r="C1118" s="47">
        <f t="shared" si="85"/>
        <v>-1.0786822240389515E-3</v>
      </c>
      <c r="D1118" s="65">
        <v>884.35518363999995</v>
      </c>
      <c r="E1118" s="47">
        <f t="shared" si="86"/>
        <v>-3.5969232439171384E-3</v>
      </c>
      <c r="H1118" s="65">
        <v>1188.4796976600001</v>
      </c>
      <c r="I1118" s="47">
        <f t="shared" si="87"/>
        <v>1.7559996680571732E-3</v>
      </c>
      <c r="L1118" s="65">
        <v>494.77689148000002</v>
      </c>
      <c r="M1118" s="47">
        <f t="shared" si="88"/>
        <v>-2.7201289579573684E-3</v>
      </c>
      <c r="P1118" s="65">
        <v>676.73693633000005</v>
      </c>
      <c r="Q1118" s="47">
        <f t="shared" si="89"/>
        <v>2.6183885685707287E-2</v>
      </c>
    </row>
    <row r="1119" spans="1:17" ht="14.4" x14ac:dyDescent="0.3">
      <c r="A1119" s="63">
        <v>45842</v>
      </c>
      <c r="B1119" s="64">
        <v>23562.45</v>
      </c>
      <c r="C1119" s="47">
        <f t="shared" si="85"/>
        <v>1.7260547108328694E-3</v>
      </c>
      <c r="D1119" s="65">
        <v>883.07820735999996</v>
      </c>
      <c r="E1119" s="47">
        <f t="shared" si="86"/>
        <v>-1.4439631311301548E-3</v>
      </c>
      <c r="H1119" s="65">
        <v>1183.42022649</v>
      </c>
      <c r="I1119" s="47">
        <f t="shared" si="87"/>
        <v>-4.2570951611219376E-3</v>
      </c>
      <c r="L1119" s="65">
        <v>494.92683901999999</v>
      </c>
      <c r="M1119" s="47">
        <f t="shared" si="88"/>
        <v>3.0306092014820152E-4</v>
      </c>
      <c r="P1119" s="65">
        <v>680.48644477000005</v>
      </c>
      <c r="Q1119" s="47">
        <f t="shared" si="89"/>
        <v>5.5405701073949487E-3</v>
      </c>
    </row>
    <row r="1120" spans="1:17" ht="14.4" x14ac:dyDescent="0.3">
      <c r="A1120" s="63">
        <v>45845</v>
      </c>
      <c r="B1120" s="64">
        <v>23551.200000000001</v>
      </c>
      <c r="C1120" s="47">
        <f t="shared" si="85"/>
        <v>-4.774545940681163E-4</v>
      </c>
      <c r="D1120" s="65">
        <v>872.17479457000002</v>
      </c>
      <c r="E1120" s="47">
        <f t="shared" si="86"/>
        <v>-1.2347052275920367E-2</v>
      </c>
      <c r="H1120" s="65">
        <v>1169.6306874300001</v>
      </c>
      <c r="I1120" s="47">
        <f t="shared" si="87"/>
        <v>-1.165227596362739E-2</v>
      </c>
      <c r="L1120" s="65">
        <v>487.57940968000003</v>
      </c>
      <c r="M1120" s="47">
        <f t="shared" si="88"/>
        <v>-1.4845485758154808E-2</v>
      </c>
      <c r="P1120" s="65">
        <v>680.43710912999995</v>
      </c>
      <c r="Q1120" s="47">
        <f t="shared" si="89"/>
        <v>-7.250054777618864E-5</v>
      </c>
    </row>
    <row r="1121" spans="1:17" ht="14.4" x14ac:dyDescent="0.3">
      <c r="A1121" s="63">
        <v>45846</v>
      </c>
      <c r="B1121" s="64">
        <v>23572.55</v>
      </c>
      <c r="C1121" s="47">
        <f t="shared" si="85"/>
        <v>9.0653554808239889E-4</v>
      </c>
      <c r="D1121" s="65">
        <v>863.08861723999996</v>
      </c>
      <c r="E1121" s="47">
        <f t="shared" si="86"/>
        <v>-1.0417839848811172E-2</v>
      </c>
      <c r="H1121" s="65">
        <v>1180.0472457200001</v>
      </c>
      <c r="I1121" s="47">
        <f t="shared" si="87"/>
        <v>8.9058524215777091E-3</v>
      </c>
      <c r="L1121" s="65">
        <v>479.68217270000002</v>
      </c>
      <c r="M1121" s="47">
        <f t="shared" si="88"/>
        <v>-1.6196822144690204E-2</v>
      </c>
      <c r="P1121" s="65">
        <v>675.84889485999997</v>
      </c>
      <c r="Q1121" s="47">
        <f t="shared" si="89"/>
        <v>-6.7430394498418922E-3</v>
      </c>
    </row>
    <row r="1122" spans="1:17" ht="14.4" x14ac:dyDescent="0.3">
      <c r="A1122" s="63">
        <v>45847</v>
      </c>
      <c r="B1122" s="64">
        <v>23557.45</v>
      </c>
      <c r="C1122" s="47">
        <f t="shared" si="85"/>
        <v>-6.405755847372907E-4</v>
      </c>
      <c r="D1122" s="65">
        <v>881.50654426000006</v>
      </c>
      <c r="E1122" s="47">
        <f t="shared" si="86"/>
        <v>2.133955500293494E-2</v>
      </c>
      <c r="H1122" s="65">
        <v>1190.7614199499999</v>
      </c>
      <c r="I1122" s="47">
        <f t="shared" si="87"/>
        <v>9.0794451398956699E-3</v>
      </c>
      <c r="L1122" s="65">
        <v>484.63044144000003</v>
      </c>
      <c r="M1122" s="47">
        <f t="shared" si="88"/>
        <v>1.0315723663749221E-2</v>
      </c>
      <c r="P1122" s="65">
        <v>672.44473588999995</v>
      </c>
      <c r="Q1122" s="47">
        <f t="shared" si="89"/>
        <v>-5.0368640030182821E-3</v>
      </c>
    </row>
    <row r="1123" spans="1:17" ht="14.4" x14ac:dyDescent="0.3">
      <c r="A1123" s="63">
        <v>45848</v>
      </c>
      <c r="B1123" s="64">
        <v>23471.4</v>
      </c>
      <c r="C1123" s="47">
        <f t="shared" si="85"/>
        <v>-3.6527722652494043E-3</v>
      </c>
      <c r="D1123" s="65">
        <v>876.54598257999999</v>
      </c>
      <c r="E1123" s="47">
        <f t="shared" si="86"/>
        <v>-5.6273679558037637E-3</v>
      </c>
      <c r="H1123" s="65">
        <v>1189.6701614599999</v>
      </c>
      <c r="I1123" s="47">
        <f t="shared" si="87"/>
        <v>-9.1643755979753383E-4</v>
      </c>
      <c r="L1123" s="65">
        <v>485.13026657</v>
      </c>
      <c r="M1123" s="47">
        <f t="shared" si="88"/>
        <v>1.0313531451198177E-3</v>
      </c>
      <c r="P1123" s="65">
        <v>672.54340717000002</v>
      </c>
      <c r="Q1123" s="47">
        <f t="shared" si="89"/>
        <v>1.4673515120833258E-4</v>
      </c>
    </row>
    <row r="1124" spans="1:17" ht="14.4" x14ac:dyDescent="0.3">
      <c r="A1124" s="63">
        <v>45849</v>
      </c>
      <c r="B1124" s="64">
        <v>23282.7</v>
      </c>
      <c r="C1124" s="47">
        <f t="shared" si="85"/>
        <v>-8.0395715636902843E-3</v>
      </c>
      <c r="D1124" s="65">
        <v>849.33656507000001</v>
      </c>
      <c r="E1124" s="47">
        <f t="shared" si="86"/>
        <v>-3.1041631643684675E-2</v>
      </c>
      <c r="H1124" s="65">
        <v>1182.2297626899999</v>
      </c>
      <c r="I1124" s="47">
        <f t="shared" si="87"/>
        <v>-6.2541694421157645E-3</v>
      </c>
      <c r="L1124" s="65">
        <v>479.13236505999998</v>
      </c>
      <c r="M1124" s="47">
        <f t="shared" si="88"/>
        <v>-1.2363486517563138E-2</v>
      </c>
      <c r="P1124" s="65">
        <v>659.07477818999996</v>
      </c>
      <c r="Q1124" s="47">
        <f t="shared" si="89"/>
        <v>-2.0026408461388034E-2</v>
      </c>
    </row>
    <row r="1125" spans="1:17" ht="14.4" x14ac:dyDescent="0.3">
      <c r="A1125" s="63">
        <v>45852</v>
      </c>
      <c r="B1125" s="64">
        <v>23309.05</v>
      </c>
      <c r="C1125" s="47">
        <f t="shared" si="85"/>
        <v>1.1317415935436781E-3</v>
      </c>
      <c r="D1125" s="65">
        <v>856.11436220999997</v>
      </c>
      <c r="E1125" s="47">
        <f t="shared" si="86"/>
        <v>7.9801075554086776E-3</v>
      </c>
      <c r="H1125" s="65">
        <v>1189.2733401999999</v>
      </c>
      <c r="I1125" s="47">
        <f t="shared" si="87"/>
        <v>5.9578753067197621E-3</v>
      </c>
      <c r="L1125" s="65">
        <v>475.03379904000002</v>
      </c>
      <c r="M1125" s="47">
        <f t="shared" si="88"/>
        <v>-8.5541414416592243E-3</v>
      </c>
      <c r="P1125" s="65">
        <v>657.74271598999997</v>
      </c>
      <c r="Q1125" s="47">
        <f t="shared" si="89"/>
        <v>-2.0211093552361392E-3</v>
      </c>
    </row>
    <row r="1126" spans="1:17" ht="14.4" x14ac:dyDescent="0.3">
      <c r="A1126" s="63">
        <v>45853</v>
      </c>
      <c r="B1126" s="64">
        <v>23449.15</v>
      </c>
      <c r="C1126" s="47">
        <f t="shared" si="85"/>
        <v>6.0105409701383117E-3</v>
      </c>
      <c r="D1126" s="65">
        <v>863.38330407000001</v>
      </c>
      <c r="E1126" s="47">
        <f t="shared" si="86"/>
        <v>8.4906201564423078E-3</v>
      </c>
      <c r="H1126" s="65">
        <v>1206.2374494000001</v>
      </c>
      <c r="I1126" s="47">
        <f t="shared" si="87"/>
        <v>1.4264264258330384E-2</v>
      </c>
      <c r="L1126" s="65">
        <v>491.07818556000001</v>
      </c>
      <c r="M1126" s="47">
        <f t="shared" si="88"/>
        <v>3.3775252523976729E-2</v>
      </c>
      <c r="P1126" s="65">
        <v>667.51117217000001</v>
      </c>
      <c r="Q1126" s="47">
        <f t="shared" si="89"/>
        <v>1.4851485151450294E-2</v>
      </c>
    </row>
    <row r="1127" spans="1:17" ht="14.4" x14ac:dyDescent="0.3">
      <c r="A1127" s="63">
        <v>45854</v>
      </c>
      <c r="B1127" s="64">
        <v>23472.5</v>
      </c>
      <c r="C1127" s="47">
        <f t="shared" si="85"/>
        <v>9.9577170174613983E-4</v>
      </c>
      <c r="D1127" s="65">
        <v>866.72308816999998</v>
      </c>
      <c r="E1127" s="47">
        <f t="shared" si="86"/>
        <v>3.8682518925907683E-3</v>
      </c>
      <c r="H1127" s="65">
        <v>1187.78526044</v>
      </c>
      <c r="I1127" s="47">
        <f t="shared" si="87"/>
        <v>-1.5297310632478189E-2</v>
      </c>
      <c r="L1127" s="65">
        <v>494.87685650999998</v>
      </c>
      <c r="M1127" s="47">
        <f t="shared" si="88"/>
        <v>7.7353689528443237E-3</v>
      </c>
      <c r="P1127" s="65">
        <v>671.50735878</v>
      </c>
      <c r="Q1127" s="47">
        <f t="shared" si="89"/>
        <v>5.9866962181454042E-3</v>
      </c>
    </row>
    <row r="1128" spans="1:17" ht="14.4" x14ac:dyDescent="0.3">
      <c r="A1128" s="63">
        <v>45855</v>
      </c>
      <c r="B1128" s="64">
        <v>23419.7</v>
      </c>
      <c r="C1128" s="47">
        <f t="shared" si="85"/>
        <v>-2.249440835019656E-3</v>
      </c>
      <c r="D1128" s="65">
        <v>863.77621984999996</v>
      </c>
      <c r="E1128" s="47">
        <f t="shared" si="86"/>
        <v>-3.4000113302877777E-3</v>
      </c>
      <c r="H1128" s="65">
        <v>1180.74168293</v>
      </c>
      <c r="I1128" s="47">
        <f t="shared" si="87"/>
        <v>-5.9300091898688567E-3</v>
      </c>
      <c r="L1128" s="65">
        <v>501.2246356</v>
      </c>
      <c r="M1128" s="47">
        <f t="shared" si="88"/>
        <v>1.282698717164954E-2</v>
      </c>
      <c r="P1128" s="65">
        <v>673.48078426999996</v>
      </c>
      <c r="Q1128" s="47">
        <f t="shared" si="89"/>
        <v>2.9387994996590283E-3</v>
      </c>
    </row>
    <row r="1129" spans="1:17" ht="14.4" x14ac:dyDescent="0.3">
      <c r="A1129" s="63">
        <v>45856</v>
      </c>
      <c r="B1129" s="64">
        <v>23275.15</v>
      </c>
      <c r="C1129" s="47">
        <f t="shared" si="85"/>
        <v>-6.1721542120521944E-3</v>
      </c>
      <c r="D1129" s="65">
        <v>859.55237524999995</v>
      </c>
      <c r="E1129" s="47">
        <f t="shared" si="86"/>
        <v>-4.8899755549342006E-3</v>
      </c>
      <c r="H1129" s="65">
        <v>1186.4955913199999</v>
      </c>
      <c r="I1129" s="47">
        <f t="shared" si="87"/>
        <v>4.8731305696954053E-3</v>
      </c>
      <c r="L1129" s="65">
        <v>491.02820303999999</v>
      </c>
      <c r="M1129" s="47">
        <f t="shared" si="88"/>
        <v>-2.0343039499234106E-2</v>
      </c>
      <c r="P1129" s="65">
        <v>668.97141975</v>
      </c>
      <c r="Q1129" s="47">
        <f t="shared" si="89"/>
        <v>-6.6956097713875007E-3</v>
      </c>
    </row>
    <row r="1130" spans="1:17" ht="14.4" x14ac:dyDescent="0.3">
      <c r="A1130" s="63">
        <v>45859</v>
      </c>
      <c r="B1130" s="64">
        <v>23378.45</v>
      </c>
      <c r="C1130" s="47">
        <f t="shared" si="85"/>
        <v>4.4382098504198719E-3</v>
      </c>
      <c r="D1130" s="65">
        <v>860.58377916999996</v>
      </c>
      <c r="E1130" s="47">
        <f t="shared" si="86"/>
        <v>1.1999314407107331E-3</v>
      </c>
      <c r="H1130" s="65">
        <v>1175.78141708</v>
      </c>
      <c r="I1130" s="47">
        <f t="shared" si="87"/>
        <v>-9.0301003378193689E-3</v>
      </c>
      <c r="L1130" s="65">
        <v>480.881753</v>
      </c>
      <c r="M1130" s="47">
        <f t="shared" si="88"/>
        <v>-2.0663680776750515E-2</v>
      </c>
      <c r="P1130" s="65">
        <v>663.47098807999998</v>
      </c>
      <c r="Q1130" s="47">
        <f t="shared" si="89"/>
        <v>-8.2222222169903159E-3</v>
      </c>
    </row>
    <row r="1131" spans="1:17" ht="14.4" x14ac:dyDescent="0.3">
      <c r="A1131" s="63">
        <v>45860</v>
      </c>
      <c r="B1131" s="64">
        <v>23320.9</v>
      </c>
      <c r="C1131" s="47">
        <f t="shared" si="85"/>
        <v>-2.4616687590494069E-3</v>
      </c>
      <c r="D1131" s="65">
        <v>852.77457810999999</v>
      </c>
      <c r="E1131" s="47">
        <f t="shared" si="86"/>
        <v>-9.0743065916623067E-3</v>
      </c>
      <c r="H1131" s="65">
        <v>1176.57505962</v>
      </c>
      <c r="I1131" s="47">
        <f t="shared" si="87"/>
        <v>6.7499156600980825E-4</v>
      </c>
      <c r="L1131" s="65">
        <v>479.38227762999998</v>
      </c>
      <c r="M1131" s="47">
        <f t="shared" si="88"/>
        <v>-3.1181789715361008E-3</v>
      </c>
      <c r="P1131" s="65">
        <v>647.96076183000002</v>
      </c>
      <c r="Q1131" s="47">
        <f t="shared" si="89"/>
        <v>-2.3377399356804718E-2</v>
      </c>
    </row>
    <row r="1132" spans="1:17" ht="14.4" x14ac:dyDescent="0.3">
      <c r="A1132" s="63">
        <v>45861</v>
      </c>
      <c r="B1132" s="64">
        <v>23428.400000000001</v>
      </c>
      <c r="C1132" s="47">
        <f t="shared" si="85"/>
        <v>4.6095991149570636E-3</v>
      </c>
      <c r="D1132" s="65">
        <v>842.60788239999999</v>
      </c>
      <c r="E1132" s="47">
        <f t="shared" si="86"/>
        <v>-1.192190289318007E-2</v>
      </c>
      <c r="H1132" s="65">
        <v>1188.2812870299999</v>
      </c>
      <c r="I1132" s="47">
        <f t="shared" si="87"/>
        <v>9.9494097841752449E-3</v>
      </c>
      <c r="L1132" s="65">
        <v>475.63358919000001</v>
      </c>
      <c r="M1132" s="47">
        <f t="shared" si="88"/>
        <v>-7.8198310929076253E-3</v>
      </c>
      <c r="P1132" s="65">
        <v>649.19959778999998</v>
      </c>
      <c r="Q1132" s="47">
        <f t="shared" si="89"/>
        <v>1.9118996596354521E-3</v>
      </c>
    </row>
    <row r="1133" spans="1:17" ht="14.4" x14ac:dyDescent="0.3">
      <c r="A1133" s="63">
        <v>45862</v>
      </c>
      <c r="B1133" s="64">
        <v>23301.1</v>
      </c>
      <c r="C1133" s="47">
        <f t="shared" si="85"/>
        <v>-5.4335763432417084E-3</v>
      </c>
      <c r="D1133" s="65">
        <v>861.76252650000004</v>
      </c>
      <c r="E1133" s="47">
        <f t="shared" si="86"/>
        <v>2.2732571698049986E-2</v>
      </c>
      <c r="H1133" s="65">
        <v>1185.10671688</v>
      </c>
      <c r="I1133" s="47">
        <f t="shared" si="87"/>
        <v>-2.671564540021043E-3</v>
      </c>
      <c r="L1133" s="65">
        <v>470.53537290999998</v>
      </c>
      <c r="M1133" s="47">
        <f t="shared" si="88"/>
        <v>-1.0718789412417773E-2</v>
      </c>
      <c r="P1133" s="65">
        <v>648.80317028000002</v>
      </c>
      <c r="Q1133" s="47">
        <f t="shared" si="89"/>
        <v>-6.1064041220837417E-4</v>
      </c>
    </row>
    <row r="1134" spans="1:17" ht="14.4" x14ac:dyDescent="0.3">
      <c r="A1134" s="63">
        <v>45863</v>
      </c>
      <c r="B1134" s="64">
        <v>23014.799999999999</v>
      </c>
      <c r="C1134" s="47">
        <f t="shared" si="85"/>
        <v>-1.2286973576354776E-2</v>
      </c>
      <c r="D1134" s="65">
        <v>851.38342245000001</v>
      </c>
      <c r="E1134" s="47">
        <f t="shared" si="86"/>
        <v>-1.2044041984691778E-2</v>
      </c>
      <c r="H1134" s="65">
        <v>1142.8452518399999</v>
      </c>
      <c r="I1134" s="47">
        <f t="shared" si="87"/>
        <v>-3.5660472122933107E-2</v>
      </c>
      <c r="L1134" s="65">
        <v>457.98976227000003</v>
      </c>
      <c r="M1134" s="47">
        <f t="shared" si="88"/>
        <v>-2.6662417667798977E-2</v>
      </c>
      <c r="P1134" s="65">
        <v>636.71213129</v>
      </c>
      <c r="Q1134" s="47">
        <f t="shared" si="89"/>
        <v>-1.863591231340922E-2</v>
      </c>
    </row>
    <row r="1135" spans="1:17" ht="14.4" x14ac:dyDescent="0.3">
      <c r="A1135" s="63">
        <v>45866</v>
      </c>
      <c r="B1135" s="64">
        <v>22846.95</v>
      </c>
      <c r="C1135" s="47">
        <f t="shared" si="85"/>
        <v>-7.2931331143437639E-3</v>
      </c>
      <c r="D1135" s="65">
        <v>853.80521438000005</v>
      </c>
      <c r="E1135" s="47">
        <f t="shared" si="86"/>
        <v>2.8445373331686952E-3</v>
      </c>
      <c r="H1135" s="65">
        <v>1130.64299785</v>
      </c>
      <c r="I1135" s="47">
        <f t="shared" si="87"/>
        <v>-1.0677083332458204E-2</v>
      </c>
      <c r="L1135" s="65">
        <v>451.94187825</v>
      </c>
      <c r="M1135" s="47">
        <f t="shared" si="88"/>
        <v>-1.320528212251737E-2</v>
      </c>
      <c r="P1135" s="65">
        <v>619.81440875999999</v>
      </c>
      <c r="Q1135" s="47">
        <f t="shared" si="89"/>
        <v>-2.653903027693949E-2</v>
      </c>
    </row>
    <row r="1136" spans="1:17" ht="14.4" x14ac:dyDescent="0.3">
      <c r="A1136" s="63">
        <v>45867</v>
      </c>
      <c r="B1136" s="64">
        <v>23007.35</v>
      </c>
      <c r="C1136" s="47">
        <f t="shared" si="85"/>
        <v>7.0206307625306774E-3</v>
      </c>
      <c r="D1136" s="65">
        <v>850.34551163000003</v>
      </c>
      <c r="E1136" s="47">
        <f t="shared" si="86"/>
        <v>-4.0520984080805178E-3</v>
      </c>
      <c r="H1136" s="65">
        <v>1123.4010097099999</v>
      </c>
      <c r="I1136" s="47">
        <f t="shared" si="87"/>
        <v>-6.4051943485001761E-3</v>
      </c>
      <c r="L1136" s="65">
        <v>479.53222516</v>
      </c>
      <c r="M1136" s="47">
        <f t="shared" si="88"/>
        <v>6.1048440602218035E-2</v>
      </c>
      <c r="P1136" s="65">
        <v>616.34566805999998</v>
      </c>
      <c r="Q1136" s="47">
        <f t="shared" si="89"/>
        <v>-5.5964183003418544E-3</v>
      </c>
    </row>
    <row r="1137" spans="1:17" ht="14.4" x14ac:dyDescent="0.3">
      <c r="A1137" s="63">
        <v>45868</v>
      </c>
      <c r="B1137" s="64">
        <v>23033.55</v>
      </c>
      <c r="C1137" s="47">
        <f t="shared" si="85"/>
        <v>1.138766524610535E-3</v>
      </c>
      <c r="D1137" s="65">
        <v>862.89929017999998</v>
      </c>
      <c r="E1137" s="47">
        <f t="shared" si="86"/>
        <v>1.4763150246934309E-2</v>
      </c>
      <c r="H1137" s="65">
        <v>1114.9685577600001</v>
      </c>
      <c r="I1137" s="47">
        <f t="shared" si="87"/>
        <v>-7.5061815657230246E-3</v>
      </c>
      <c r="L1137" s="65">
        <v>485.13026657</v>
      </c>
      <c r="M1137" s="47">
        <f t="shared" si="88"/>
        <v>1.1673962908607782E-2</v>
      </c>
      <c r="P1137" s="65">
        <v>622.83716850999997</v>
      </c>
      <c r="Q1137" s="47">
        <f t="shared" si="89"/>
        <v>1.0532239920550746E-2</v>
      </c>
    </row>
    <row r="1138" spans="1:17" ht="14.4" x14ac:dyDescent="0.3">
      <c r="A1138" s="63">
        <v>45869</v>
      </c>
      <c r="B1138" s="64">
        <v>22914.95</v>
      </c>
      <c r="C1138" s="47">
        <f t="shared" si="85"/>
        <v>-5.149010899318518E-3</v>
      </c>
      <c r="D1138" s="65">
        <v>851.58111974999997</v>
      </c>
      <c r="E1138" s="47">
        <f t="shared" si="86"/>
        <v>-1.311644424651115E-2</v>
      </c>
      <c r="H1138" s="65">
        <v>1138.2818072600001</v>
      </c>
      <c r="I1138" s="47">
        <f t="shared" si="87"/>
        <v>2.090933357514313E-2</v>
      </c>
      <c r="L1138" s="65">
        <v>485.48014415</v>
      </c>
      <c r="M1138" s="47">
        <f t="shared" si="88"/>
        <v>7.2120336352887726E-4</v>
      </c>
      <c r="P1138" s="65">
        <v>612.57960674000003</v>
      </c>
      <c r="Q1138" s="47">
        <f t="shared" si="89"/>
        <v>-1.6469090620488958E-2</v>
      </c>
    </row>
    <row r="1139" spans="1:17" ht="14.4" x14ac:dyDescent="0.3">
      <c r="A1139" s="63">
        <v>45870</v>
      </c>
      <c r="B1139" s="64">
        <v>22673.65</v>
      </c>
      <c r="C1139" s="47">
        <f t="shared" si="85"/>
        <v>-1.0530243356411395E-2</v>
      </c>
      <c r="D1139" s="65">
        <v>814.41402734999997</v>
      </c>
      <c r="E1139" s="47">
        <f t="shared" si="86"/>
        <v>-4.364480557167727E-2</v>
      </c>
      <c r="H1139" s="65">
        <v>1112.2900142000001</v>
      </c>
      <c r="I1139" s="47">
        <f t="shared" si="87"/>
        <v>-2.2834233925398295E-2</v>
      </c>
      <c r="L1139" s="65">
        <v>516.06944181999995</v>
      </c>
      <c r="M1139" s="47">
        <f t="shared" si="88"/>
        <v>6.3008339349402309E-2</v>
      </c>
      <c r="P1139" s="65">
        <v>606.03855285999998</v>
      </c>
      <c r="Q1139" s="47">
        <f t="shared" si="89"/>
        <v>-1.0677883834249613E-2</v>
      </c>
    </row>
    <row r="1140" spans="1:17" ht="14.4" x14ac:dyDescent="0.3">
      <c r="A1140" s="63">
        <v>45873</v>
      </c>
      <c r="B1140" s="64">
        <v>22860.400000000001</v>
      </c>
      <c r="C1140" s="47">
        <f t="shared" si="85"/>
        <v>8.2364330401147878E-3</v>
      </c>
      <c r="D1140" s="65">
        <v>823.65637613000001</v>
      </c>
      <c r="E1140" s="47">
        <f t="shared" si="86"/>
        <v>1.1348464625632104E-2</v>
      </c>
      <c r="H1140" s="65">
        <v>1115.8614056199999</v>
      </c>
      <c r="I1140" s="47">
        <f t="shared" si="87"/>
        <v>3.210845529858064E-3</v>
      </c>
      <c r="L1140" s="65">
        <v>524.21659136000005</v>
      </c>
      <c r="M1140" s="47">
        <f t="shared" si="88"/>
        <v>1.5786924936434632E-2</v>
      </c>
      <c r="P1140" s="65">
        <v>610.20104169000001</v>
      </c>
      <c r="Q1140" s="47">
        <f t="shared" si="89"/>
        <v>6.8683564937519481E-3</v>
      </c>
    </row>
    <row r="1141" spans="1:17" ht="14.4" x14ac:dyDescent="0.3">
      <c r="A1141" s="63">
        <v>45874</v>
      </c>
      <c r="B1141" s="64">
        <v>22798.5</v>
      </c>
      <c r="C1141" s="47">
        <f t="shared" si="85"/>
        <v>-2.707739147171595E-3</v>
      </c>
      <c r="D1141" s="65">
        <v>832.25620867999999</v>
      </c>
      <c r="E1141" s="47">
        <f t="shared" si="86"/>
        <v>1.0441044104346986E-2</v>
      </c>
      <c r="H1141" s="65">
        <v>1121.91292995</v>
      </c>
      <c r="I1141" s="47">
        <f t="shared" si="87"/>
        <v>5.4231863379463618E-3</v>
      </c>
      <c r="L1141" s="65">
        <v>527.01561205999997</v>
      </c>
      <c r="M1141" s="47">
        <f t="shared" si="88"/>
        <v>5.3394355427367479E-3</v>
      </c>
      <c r="P1141" s="65">
        <v>600.88499524999997</v>
      </c>
      <c r="Q1141" s="47">
        <f t="shared" si="89"/>
        <v>-1.526717557577173E-2</v>
      </c>
    </row>
    <row r="1142" spans="1:17" ht="14.4" x14ac:dyDescent="0.3">
      <c r="A1142" s="63">
        <v>45875</v>
      </c>
      <c r="B1142" s="64">
        <v>22666.85</v>
      </c>
      <c r="C1142" s="47">
        <f t="shared" si="85"/>
        <v>-5.7745027085115419E-3</v>
      </c>
      <c r="D1142" s="65">
        <v>817.92315442999995</v>
      </c>
      <c r="E1142" s="47">
        <f t="shared" si="86"/>
        <v>-1.722192529237232E-2</v>
      </c>
      <c r="H1142" s="65">
        <v>1106.93292709</v>
      </c>
      <c r="I1142" s="47">
        <f t="shared" si="87"/>
        <v>-1.3352197358726947E-2</v>
      </c>
      <c r="L1142" s="65">
        <v>508.17220484000001</v>
      </c>
      <c r="M1142" s="47">
        <f t="shared" si="88"/>
        <v>-3.5754931711310833E-2</v>
      </c>
      <c r="P1142" s="65">
        <v>590.52832660000001</v>
      </c>
      <c r="Q1142" s="47">
        <f t="shared" si="89"/>
        <v>-1.7235691907552142E-2</v>
      </c>
    </row>
    <row r="1143" spans="1:17" ht="14.4" x14ac:dyDescent="0.3">
      <c r="A1143" s="63">
        <v>45876</v>
      </c>
      <c r="B1143" s="64">
        <v>22694.1</v>
      </c>
      <c r="C1143" s="47">
        <f t="shared" si="85"/>
        <v>1.2021961587076468E-3</v>
      </c>
      <c r="D1143" s="65">
        <v>808.38425970000003</v>
      </c>
      <c r="E1143" s="47">
        <f t="shared" si="86"/>
        <v>-1.1662336098856918E-2</v>
      </c>
      <c r="H1143" s="65">
        <v>1104.05597289</v>
      </c>
      <c r="I1143" s="47">
        <f t="shared" si="87"/>
        <v>-2.5990320909173859E-3</v>
      </c>
      <c r="L1143" s="65">
        <v>514.22008886000003</v>
      </c>
      <c r="M1143" s="47">
        <f t="shared" si="88"/>
        <v>1.1901249148217774E-2</v>
      </c>
      <c r="P1143" s="65">
        <v>609.45774011000003</v>
      </c>
      <c r="Q1143" s="47">
        <f t="shared" si="89"/>
        <v>3.2055047416585714E-2</v>
      </c>
    </row>
    <row r="1144" spans="1:17" ht="14.4" x14ac:dyDescent="0.3">
      <c r="A1144" s="63">
        <v>45877</v>
      </c>
      <c r="B1144" s="64">
        <v>22443.15</v>
      </c>
      <c r="C1144" s="47">
        <f t="shared" si="85"/>
        <v>-1.1057940169471259E-2</v>
      </c>
      <c r="D1144" s="65">
        <v>796.76954333000003</v>
      </c>
      <c r="E1144" s="47">
        <f t="shared" si="86"/>
        <v>-1.436781608576887E-2</v>
      </c>
      <c r="H1144" s="65">
        <v>1174.19413201</v>
      </c>
      <c r="I1144" s="47">
        <f t="shared" si="87"/>
        <v>6.3527720371282292E-2</v>
      </c>
      <c r="L1144" s="65">
        <v>503.02400605000003</v>
      </c>
      <c r="M1144" s="47">
        <f t="shared" si="88"/>
        <v>-2.1772939355249932E-2</v>
      </c>
      <c r="P1144" s="65">
        <v>579.18058918999998</v>
      </c>
      <c r="Q1144" s="47">
        <f t="shared" si="89"/>
        <v>-4.9678835672076871E-2</v>
      </c>
    </row>
    <row r="1145" spans="1:17" ht="14.4" x14ac:dyDescent="0.3">
      <c r="A1145" s="63">
        <v>45880</v>
      </c>
      <c r="B1145" s="64">
        <v>22633.45</v>
      </c>
      <c r="C1145" s="47">
        <f t="shared" si="85"/>
        <v>8.4792018945647474E-3</v>
      </c>
      <c r="D1145" s="65">
        <v>790.93747298000005</v>
      </c>
      <c r="E1145" s="47">
        <f t="shared" si="86"/>
        <v>-7.3196451832553411E-3</v>
      </c>
      <c r="H1145" s="65">
        <v>1227.96341383</v>
      </c>
      <c r="I1145" s="47">
        <f t="shared" si="87"/>
        <v>4.5792497470547922E-2</v>
      </c>
      <c r="L1145" s="65">
        <v>512.72061348</v>
      </c>
      <c r="M1145" s="47">
        <f t="shared" si="88"/>
        <v>1.9276629571106652E-2</v>
      </c>
      <c r="P1145" s="65">
        <v>563.12527510999996</v>
      </c>
      <c r="Q1145" s="47">
        <f t="shared" si="89"/>
        <v>-2.772073922997631E-2</v>
      </c>
    </row>
    <row r="1146" spans="1:17" ht="14.4" x14ac:dyDescent="0.3">
      <c r="A1146" s="63">
        <v>45881</v>
      </c>
      <c r="B1146" s="64">
        <v>22568.6</v>
      </c>
      <c r="C1146" s="47">
        <f t="shared" si="85"/>
        <v>-2.8652282352006342E-3</v>
      </c>
      <c r="D1146" s="65">
        <v>787.97201347999999</v>
      </c>
      <c r="E1146" s="47">
        <f t="shared" si="86"/>
        <v>-3.7492970067876108E-3</v>
      </c>
      <c r="H1146" s="65">
        <v>1218.63811403</v>
      </c>
      <c r="I1146" s="47">
        <f t="shared" si="87"/>
        <v>-7.5941185991157401E-3</v>
      </c>
      <c r="L1146" s="65">
        <v>503.02400605000003</v>
      </c>
      <c r="M1146" s="47">
        <f t="shared" si="88"/>
        <v>-1.8912068629708401E-2</v>
      </c>
      <c r="P1146" s="65">
        <v>569.41856180000002</v>
      </c>
      <c r="Q1146" s="47">
        <f t="shared" si="89"/>
        <v>1.1175642380411244E-2</v>
      </c>
    </row>
    <row r="1147" spans="1:17" ht="14.4" x14ac:dyDescent="0.3">
      <c r="A1147" s="63">
        <v>45882</v>
      </c>
      <c r="B1147" s="64">
        <v>22698.1</v>
      </c>
      <c r="C1147" s="47">
        <f t="shared" si="85"/>
        <v>5.7380608455996907E-3</v>
      </c>
      <c r="D1147" s="65">
        <v>783.62267287999998</v>
      </c>
      <c r="E1147" s="47">
        <f t="shared" si="86"/>
        <v>-5.5196638022606548E-3</v>
      </c>
      <c r="H1147" s="65">
        <v>1223.59837988</v>
      </c>
      <c r="I1147" s="47">
        <f t="shared" si="87"/>
        <v>4.0703353956299537E-3</v>
      </c>
      <c r="L1147" s="65">
        <v>542.41022592000002</v>
      </c>
      <c r="M1147" s="47">
        <f t="shared" si="88"/>
        <v>7.829888712326194E-2</v>
      </c>
      <c r="P1147" s="65">
        <v>566.19758830000001</v>
      </c>
      <c r="Q1147" s="47">
        <f t="shared" si="89"/>
        <v>-5.656600813675805E-3</v>
      </c>
    </row>
    <row r="1148" spans="1:17" ht="14.4" x14ac:dyDescent="0.3">
      <c r="A1148" s="63">
        <v>45883</v>
      </c>
      <c r="B1148" s="64">
        <v>22680.25</v>
      </c>
      <c r="C1148" s="47">
        <f t="shared" si="85"/>
        <v>-7.8640943515084771E-4</v>
      </c>
      <c r="D1148" s="65">
        <v>769.58616457999995</v>
      </c>
      <c r="E1148" s="47">
        <f t="shared" si="86"/>
        <v>-1.7912330494997741E-2</v>
      </c>
      <c r="H1148" s="65">
        <v>1222.3087107599999</v>
      </c>
      <c r="I1148" s="47">
        <f t="shared" si="87"/>
        <v>-1.0539970804199772E-3</v>
      </c>
      <c r="L1148" s="65">
        <v>522.16730834999998</v>
      </c>
      <c r="M1148" s="47">
        <f t="shared" si="88"/>
        <v>-3.7320309615596514E-2</v>
      </c>
      <c r="P1148" s="65">
        <v>559.95385505000002</v>
      </c>
      <c r="Q1148" s="47">
        <f t="shared" si="89"/>
        <v>-1.1027481181519527E-2</v>
      </c>
    </row>
    <row r="1149" spans="1:17" ht="14.4" x14ac:dyDescent="0.3">
      <c r="A1149" s="63">
        <v>45887</v>
      </c>
      <c r="B1149" s="64">
        <v>22931.5</v>
      </c>
      <c r="C1149" s="47">
        <f t="shared" si="85"/>
        <v>1.1077920216928883E-2</v>
      </c>
      <c r="D1149" s="65">
        <v>821.97594907999996</v>
      </c>
      <c r="E1149" s="47">
        <f t="shared" si="86"/>
        <v>6.8075268126203348E-2</v>
      </c>
      <c r="H1149" s="65">
        <v>1263.1813013599999</v>
      </c>
      <c r="I1149" s="47">
        <f t="shared" si="87"/>
        <v>3.3438844246300503E-2</v>
      </c>
      <c r="L1149" s="65">
        <v>533.91319879000002</v>
      </c>
      <c r="M1149" s="47">
        <f t="shared" si="88"/>
        <v>2.2494496021047361E-2</v>
      </c>
      <c r="P1149" s="65">
        <v>572.93685593999999</v>
      </c>
      <c r="Q1149" s="47">
        <f t="shared" si="89"/>
        <v>2.3185840713322081E-2</v>
      </c>
    </row>
    <row r="1150" spans="1:17" ht="14.4" x14ac:dyDescent="0.3">
      <c r="A1150" s="63">
        <v>45888</v>
      </c>
      <c r="B1150" s="64">
        <v>23066.6</v>
      </c>
      <c r="C1150" s="47">
        <f t="shared" si="85"/>
        <v>5.8914593463139653E-3</v>
      </c>
      <c r="D1150" s="65">
        <v>818.51624632999994</v>
      </c>
      <c r="E1150" s="47">
        <f t="shared" si="86"/>
        <v>-4.2090072755441854E-3</v>
      </c>
      <c r="H1150" s="65">
        <v>1264.66938112</v>
      </c>
      <c r="I1150" s="47">
        <f t="shared" si="87"/>
        <v>1.1780413139412804E-3</v>
      </c>
      <c r="L1150" s="65">
        <v>539.66118773000005</v>
      </c>
      <c r="M1150" s="47">
        <f t="shared" si="88"/>
        <v>1.0765774198927103E-2</v>
      </c>
      <c r="P1150" s="65">
        <v>590.42921973</v>
      </c>
      <c r="Q1150" s="47">
        <f t="shared" si="89"/>
        <v>3.0531049990318415E-2</v>
      </c>
    </row>
    <row r="1151" spans="1:17" ht="14.4" x14ac:dyDescent="0.3">
      <c r="A1151" s="63">
        <v>45889</v>
      </c>
      <c r="B1151" s="64">
        <v>23143.15</v>
      </c>
      <c r="C1151" s="47">
        <f t="shared" si="85"/>
        <v>3.3186512099747656E-3</v>
      </c>
      <c r="D1151" s="65">
        <v>810.90490027999999</v>
      </c>
      <c r="E1151" s="47">
        <f t="shared" si="86"/>
        <v>-9.2989553770338462E-3</v>
      </c>
      <c r="H1151" s="65">
        <v>1268.0423618899999</v>
      </c>
      <c r="I1151" s="47">
        <f t="shared" si="87"/>
        <v>2.6670850266121704E-3</v>
      </c>
      <c r="L1151" s="65">
        <v>540.36094290999995</v>
      </c>
      <c r="M1151" s="47">
        <f t="shared" si="88"/>
        <v>1.2966564872736175E-3</v>
      </c>
      <c r="P1151" s="65">
        <v>588.74440282</v>
      </c>
      <c r="Q1151" s="47">
        <f t="shared" si="89"/>
        <v>-2.8535459521641382E-3</v>
      </c>
    </row>
    <row r="1152" spans="1:17" ht="14.4" x14ac:dyDescent="0.3">
      <c r="A1152" s="63">
        <v>45890</v>
      </c>
      <c r="B1152" s="64">
        <v>23137.15</v>
      </c>
      <c r="C1152" s="47">
        <f t="shared" si="85"/>
        <v>-2.5925597855092075E-4</v>
      </c>
      <c r="D1152" s="65">
        <v>808.53253268000003</v>
      </c>
      <c r="E1152" s="47">
        <f t="shared" si="86"/>
        <v>-2.9255805448712424E-3</v>
      </c>
      <c r="H1152" s="65">
        <v>1284.90726578</v>
      </c>
      <c r="I1152" s="47">
        <f t="shared" si="87"/>
        <v>1.32999530590312E-2</v>
      </c>
      <c r="L1152" s="65">
        <v>548.10823234999998</v>
      </c>
      <c r="M1152" s="47">
        <f t="shared" si="88"/>
        <v>1.433724909553713E-2</v>
      </c>
      <c r="P1152" s="65">
        <v>588.89306312999997</v>
      </c>
      <c r="Q1152" s="47">
        <f t="shared" si="89"/>
        <v>2.5250398863740919E-4</v>
      </c>
    </row>
    <row r="1153" spans="1:17" ht="14.4" x14ac:dyDescent="0.3">
      <c r="A1153" s="63">
        <v>45891</v>
      </c>
      <c r="B1153" s="64">
        <v>22991.3</v>
      </c>
      <c r="C1153" s="47">
        <f t="shared" si="85"/>
        <v>-6.3037150210809578E-3</v>
      </c>
      <c r="D1153" s="65">
        <v>815.25424088</v>
      </c>
      <c r="E1153" s="47">
        <f t="shared" si="86"/>
        <v>8.313466593261154E-3</v>
      </c>
      <c r="H1153" s="65">
        <v>1289.7683263199999</v>
      </c>
      <c r="I1153" s="47">
        <f t="shared" si="87"/>
        <v>3.7831995113273287E-3</v>
      </c>
      <c r="L1153" s="65">
        <v>539.61120521999999</v>
      </c>
      <c r="M1153" s="47">
        <f t="shared" si="88"/>
        <v>-1.5502462157098384E-2</v>
      </c>
      <c r="P1153" s="65">
        <v>578.93282199999999</v>
      </c>
      <c r="Q1153" s="47">
        <f t="shared" si="89"/>
        <v>-1.6913497124691479E-2</v>
      </c>
    </row>
    <row r="1154" spans="1:17" ht="14.4" x14ac:dyDescent="0.3">
      <c r="A1154" s="63">
        <v>45894</v>
      </c>
      <c r="B1154" s="64">
        <v>23052</v>
      </c>
      <c r="C1154" s="47">
        <f t="shared" si="85"/>
        <v>2.6401290923088183E-3</v>
      </c>
      <c r="D1154" s="65">
        <v>815.20481655000003</v>
      </c>
      <c r="E1154" s="47">
        <f t="shared" si="86"/>
        <v>-6.062443777854476E-5</v>
      </c>
      <c r="H1154" s="65">
        <v>1277.96289359</v>
      </c>
      <c r="I1154" s="47">
        <f t="shared" si="87"/>
        <v>-9.1531420714008327E-3</v>
      </c>
      <c r="L1154" s="65">
        <v>546.30886190000001</v>
      </c>
      <c r="M1154" s="47">
        <f t="shared" si="88"/>
        <v>1.2412004449146696E-2</v>
      </c>
      <c r="P1154" s="65">
        <v>584.48280710999995</v>
      </c>
      <c r="Q1154" s="47">
        <f t="shared" si="89"/>
        <v>9.5865787861653118E-3</v>
      </c>
    </row>
    <row r="1155" spans="1:17" ht="14.4" x14ac:dyDescent="0.3">
      <c r="A1155" s="63">
        <v>45895</v>
      </c>
      <c r="B1155" s="64">
        <v>22768.65</v>
      </c>
      <c r="C1155" s="47">
        <f t="shared" si="85"/>
        <v>-1.2291775117126424E-2</v>
      </c>
      <c r="D1155" s="65">
        <v>809.17504889999998</v>
      </c>
      <c r="E1155" s="47">
        <f t="shared" si="86"/>
        <v>-7.3966290772402576E-3</v>
      </c>
      <c r="H1155" s="65">
        <v>1253.16156434</v>
      </c>
      <c r="I1155" s="47">
        <f t="shared" si="87"/>
        <v>-1.9406924390683256E-2</v>
      </c>
      <c r="L1155" s="65">
        <v>524.11662634000004</v>
      </c>
      <c r="M1155" s="47">
        <f t="shared" si="88"/>
        <v>-4.0622140894471137E-2</v>
      </c>
      <c r="P1155" s="65">
        <v>568.92302742000004</v>
      </c>
      <c r="Q1155" s="47">
        <f t="shared" si="89"/>
        <v>-2.662144976844727E-2</v>
      </c>
    </row>
    <row r="1156" spans="1:17" ht="14.4" x14ac:dyDescent="0.3">
      <c r="A1156" s="63">
        <v>45897</v>
      </c>
      <c r="B1156" s="64">
        <v>22541.65</v>
      </c>
      <c r="C1156" s="47">
        <f t="shared" ref="C1156:C1219" si="90">B1156/B1155-1</f>
        <v>-9.9698488931052598E-3</v>
      </c>
      <c r="D1156" s="65">
        <v>799.73500282999998</v>
      </c>
      <c r="E1156" s="47">
        <f t="shared" ref="E1156:E1219" si="91">D1156/D1155-1</f>
        <v>-1.1666259461204143E-2</v>
      </c>
      <c r="H1156" s="65">
        <v>1259.2130886800001</v>
      </c>
      <c r="I1156" s="47">
        <f t="shared" ref="I1156:I1219" si="92">H1156/H1155-1</f>
        <v>4.8290057022193356E-3</v>
      </c>
      <c r="L1156" s="65">
        <v>526.91564703999995</v>
      </c>
      <c r="M1156" s="47">
        <f t="shared" ref="M1156:M1219" si="93">L1156/L1155-1</f>
        <v>5.3404539358843373E-3</v>
      </c>
      <c r="P1156" s="65">
        <v>568.08061896000004</v>
      </c>
      <c r="Q1156" s="47">
        <f t="shared" ref="Q1156:Q1219" si="94">P1156/P1155-1</f>
        <v>-1.4807072651290554E-3</v>
      </c>
    </row>
    <row r="1157" spans="1:17" ht="14.4" x14ac:dyDescent="0.3">
      <c r="A1157" s="63">
        <v>45898</v>
      </c>
      <c r="B1157" s="64">
        <v>22462.95</v>
      </c>
      <c r="C1157" s="47">
        <f t="shared" si="90"/>
        <v>-3.4913149658520881E-3</v>
      </c>
      <c r="D1157" s="65">
        <v>798.79594065000003</v>
      </c>
      <c r="E1157" s="47">
        <f t="shared" si="91"/>
        <v>-1.1742166801214093E-3</v>
      </c>
      <c r="H1157" s="65">
        <v>1239.07440933</v>
      </c>
      <c r="I1157" s="47">
        <f t="shared" si="92"/>
        <v>-1.5993067044046461E-2</v>
      </c>
      <c r="L1157" s="65">
        <v>512.77059598999995</v>
      </c>
      <c r="M1157" s="47">
        <f t="shared" si="93"/>
        <v>-2.6845000958808485E-2</v>
      </c>
      <c r="P1157" s="65">
        <v>563.96768356999996</v>
      </c>
      <c r="Q1157" s="47">
        <f t="shared" si="94"/>
        <v>-7.2400558173059126E-3</v>
      </c>
    </row>
    <row r="1158" spans="1:17" ht="14.4" x14ac:dyDescent="0.3">
      <c r="A1158" s="63">
        <v>45901</v>
      </c>
      <c r="B1158" s="64">
        <v>22713.55</v>
      </c>
      <c r="C1158" s="47">
        <f t="shared" si="90"/>
        <v>1.1156148235204943E-2</v>
      </c>
      <c r="D1158" s="65">
        <v>808.63138132999995</v>
      </c>
      <c r="E1158" s="47">
        <f t="shared" si="91"/>
        <v>1.2312832576485855E-2</v>
      </c>
      <c r="H1158" s="65">
        <v>1229.94752017</v>
      </c>
      <c r="I1158" s="47">
        <f t="shared" si="92"/>
        <v>-7.3658927109431227E-3</v>
      </c>
      <c r="L1158" s="65">
        <v>535.51263918999996</v>
      </c>
      <c r="M1158" s="47">
        <f t="shared" si="93"/>
        <v>4.4351301298960477E-2</v>
      </c>
      <c r="P1158" s="65">
        <v>565.85071422999999</v>
      </c>
      <c r="Q1158" s="47">
        <f t="shared" si="94"/>
        <v>3.3388981582778143E-3</v>
      </c>
    </row>
    <row r="1159" spans="1:17" ht="14.4" x14ac:dyDescent="0.3">
      <c r="A1159" s="63">
        <v>45902</v>
      </c>
      <c r="B1159" s="64">
        <v>22724.400000000001</v>
      </c>
      <c r="C1159" s="47">
        <f t="shared" si="90"/>
        <v>4.7768842827311531E-4</v>
      </c>
      <c r="D1159" s="65">
        <v>852.12478733</v>
      </c>
      <c r="E1159" s="47">
        <f t="shared" si="91"/>
        <v>5.3786443371099502E-2</v>
      </c>
      <c r="H1159" s="65">
        <v>1213.7770535</v>
      </c>
      <c r="I1159" s="47">
        <f t="shared" si="92"/>
        <v>-1.3147281818792544E-2</v>
      </c>
      <c r="L1159" s="65">
        <v>543.55982371000005</v>
      </c>
      <c r="M1159" s="47">
        <f t="shared" si="93"/>
        <v>1.5027067395033011E-2</v>
      </c>
      <c r="P1159" s="65">
        <v>566.54446237000002</v>
      </c>
      <c r="Q1159" s="47">
        <f t="shared" si="94"/>
        <v>1.2260267992134644E-3</v>
      </c>
    </row>
    <row r="1160" spans="1:17" ht="14.4" x14ac:dyDescent="0.3">
      <c r="A1160" s="63">
        <v>45903</v>
      </c>
      <c r="B1160" s="64">
        <v>22864.65</v>
      </c>
      <c r="C1160" s="47">
        <f t="shared" si="90"/>
        <v>6.1717801130063421E-3</v>
      </c>
      <c r="D1160" s="65">
        <v>837.98943038000004</v>
      </c>
      <c r="E1160" s="47">
        <f t="shared" si="91"/>
        <v>-1.6588364943931344E-2</v>
      </c>
      <c r="H1160" s="65">
        <v>1262.28845351</v>
      </c>
      <c r="I1160" s="47">
        <f t="shared" si="92"/>
        <v>3.9967306903779809E-2</v>
      </c>
      <c r="L1160" s="65">
        <v>543.75975375999997</v>
      </c>
      <c r="M1160" s="47">
        <f t="shared" si="93"/>
        <v>3.678160917695017E-4</v>
      </c>
      <c r="P1160" s="65">
        <v>569.66632900000002</v>
      </c>
      <c r="Q1160" s="47">
        <f t="shared" si="94"/>
        <v>5.5103647416134827E-3</v>
      </c>
    </row>
    <row r="1161" spans="1:17" ht="14.4" x14ac:dyDescent="0.3">
      <c r="A1161" s="63">
        <v>45904</v>
      </c>
      <c r="B1161" s="64">
        <v>22819.65</v>
      </c>
      <c r="C1161" s="47">
        <f t="shared" si="90"/>
        <v>-1.9681036009735475E-3</v>
      </c>
      <c r="D1161" s="65">
        <v>851.23514948000002</v>
      </c>
      <c r="E1161" s="47">
        <f t="shared" si="91"/>
        <v>1.5806546741279792E-2</v>
      </c>
      <c r="H1161" s="65">
        <v>1251.3758686399999</v>
      </c>
      <c r="I1161" s="47">
        <f t="shared" si="92"/>
        <v>-8.6450801634569974E-3</v>
      </c>
      <c r="L1161" s="65">
        <v>549.55772520999994</v>
      </c>
      <c r="M1161" s="47">
        <f t="shared" si="93"/>
        <v>1.0662744732224283E-2</v>
      </c>
      <c r="P1161" s="65">
        <v>567.68419145999997</v>
      </c>
      <c r="Q1161" s="47">
        <f t="shared" si="94"/>
        <v>-3.4794711203653961E-3</v>
      </c>
    </row>
    <row r="1162" spans="1:17" ht="14.4" x14ac:dyDescent="0.3">
      <c r="A1162" s="63">
        <v>45905</v>
      </c>
      <c r="B1162" s="64">
        <v>22829.15</v>
      </c>
      <c r="C1162" s="47">
        <f t="shared" si="90"/>
        <v>4.1630787501123478E-4</v>
      </c>
      <c r="D1162" s="65">
        <v>843.22840883000003</v>
      </c>
      <c r="E1162" s="47">
        <f t="shared" si="91"/>
        <v>-9.4060268245397261E-3</v>
      </c>
      <c r="H1162" s="65">
        <v>1254.25282283</v>
      </c>
      <c r="I1162" s="47">
        <f t="shared" si="92"/>
        <v>2.2990328182745934E-3</v>
      </c>
      <c r="L1162" s="65">
        <v>568.15121986999998</v>
      </c>
      <c r="M1162" s="47">
        <f t="shared" si="93"/>
        <v>3.3833560710833321E-2</v>
      </c>
      <c r="P1162" s="65">
        <v>563.81902324999999</v>
      </c>
      <c r="Q1162" s="47">
        <f t="shared" si="94"/>
        <v>-6.8086592301598303E-3</v>
      </c>
    </row>
    <row r="1163" spans="1:17" ht="14.4" x14ac:dyDescent="0.3">
      <c r="A1163" s="63">
        <v>45908</v>
      </c>
      <c r="B1163" s="64">
        <v>22878.65</v>
      </c>
      <c r="C1163" s="47">
        <f t="shared" si="90"/>
        <v>2.1682804659832744E-3</v>
      </c>
      <c r="D1163" s="65">
        <v>846.29271698000002</v>
      </c>
      <c r="E1163" s="47">
        <f t="shared" si="91"/>
        <v>3.6340191078854112E-3</v>
      </c>
      <c r="H1163" s="65">
        <v>1253.3599749800001</v>
      </c>
      <c r="I1163" s="47">
        <f t="shared" si="92"/>
        <v>-7.1185636081361192E-4</v>
      </c>
      <c r="L1163" s="65">
        <v>560.30396540000004</v>
      </c>
      <c r="M1163" s="47">
        <f t="shared" si="93"/>
        <v>-1.3811911680477351E-2</v>
      </c>
      <c r="P1163" s="65">
        <v>559.90430160999995</v>
      </c>
      <c r="Q1163" s="47">
        <f t="shared" si="94"/>
        <v>-6.9432237625374205E-3</v>
      </c>
    </row>
    <row r="1164" spans="1:17" ht="14.4" x14ac:dyDescent="0.3">
      <c r="A1164" s="63">
        <v>45909</v>
      </c>
      <c r="B1164" s="64">
        <v>22949.1</v>
      </c>
      <c r="C1164" s="47">
        <f t="shared" si="90"/>
        <v>3.0792900804896828E-3</v>
      </c>
      <c r="D1164" s="65">
        <v>869.02790647999996</v>
      </c>
      <c r="E1164" s="47">
        <f t="shared" si="91"/>
        <v>2.6864451322623495E-2</v>
      </c>
      <c r="H1164" s="65">
        <v>1260.5027577999999</v>
      </c>
      <c r="I1164" s="47">
        <f t="shared" si="92"/>
        <v>5.6989077061551097E-3</v>
      </c>
      <c r="L1164" s="65">
        <v>552.75660601000004</v>
      </c>
      <c r="M1164" s="47">
        <f t="shared" si="93"/>
        <v>-1.347011596573644E-2</v>
      </c>
      <c r="P1164" s="65">
        <v>563.12527510999996</v>
      </c>
      <c r="Q1164" s="47">
        <f t="shared" si="94"/>
        <v>5.7527214753274603E-3</v>
      </c>
    </row>
    <row r="1165" spans="1:17" ht="14.4" x14ac:dyDescent="0.3">
      <c r="A1165" s="63">
        <v>45910</v>
      </c>
      <c r="B1165" s="64">
        <v>23074.15</v>
      </c>
      <c r="C1165" s="47">
        <f t="shared" si="90"/>
        <v>5.4490154297990312E-3</v>
      </c>
      <c r="D1165" s="65">
        <v>860.27980094999998</v>
      </c>
      <c r="E1165" s="47">
        <f t="shared" si="91"/>
        <v>-1.006654155150688E-2</v>
      </c>
      <c r="H1165" s="65">
        <v>1249.9869942</v>
      </c>
      <c r="I1165" s="47">
        <f t="shared" si="92"/>
        <v>-8.3425153455065626E-3</v>
      </c>
      <c r="L1165" s="65">
        <v>538.01176482000005</v>
      </c>
      <c r="M1165" s="47">
        <f t="shared" si="93"/>
        <v>-2.6675106239676949E-2</v>
      </c>
      <c r="P1165" s="65">
        <v>580.61763889999997</v>
      </c>
      <c r="Q1165" s="47">
        <f t="shared" si="94"/>
        <v>3.1063005983141379E-2</v>
      </c>
    </row>
    <row r="1166" spans="1:17" ht="14.4" x14ac:dyDescent="0.3">
      <c r="A1166" s="63">
        <v>45911</v>
      </c>
      <c r="B1166" s="64">
        <v>23102.65</v>
      </c>
      <c r="C1166" s="47">
        <f t="shared" si="90"/>
        <v>1.235148423669008E-3</v>
      </c>
      <c r="D1166" s="65">
        <v>849.06047918000002</v>
      </c>
      <c r="E1166" s="47">
        <f t="shared" si="91"/>
        <v>-1.3041479943630585E-2</v>
      </c>
      <c r="H1166" s="65">
        <v>1282.6255434899999</v>
      </c>
      <c r="I1166" s="47">
        <f t="shared" si="92"/>
        <v>2.6111111108711116E-2</v>
      </c>
      <c r="L1166" s="65">
        <v>532.31375838999998</v>
      </c>
      <c r="M1166" s="47">
        <f t="shared" si="93"/>
        <v>-1.0590858420923999E-2</v>
      </c>
      <c r="P1166" s="65">
        <v>580.61763889999997</v>
      </c>
      <c r="Q1166" s="47">
        <f t="shared" si="94"/>
        <v>0</v>
      </c>
    </row>
    <row r="1167" spans="1:17" ht="14.4" x14ac:dyDescent="0.3">
      <c r="A1167" s="63">
        <v>45912</v>
      </c>
      <c r="B1167" s="64">
        <v>23190.25</v>
      </c>
      <c r="C1167" s="47">
        <f t="shared" si="90"/>
        <v>3.7917728052840882E-3</v>
      </c>
      <c r="D1167" s="65">
        <v>866.70496319999995</v>
      </c>
      <c r="E1167" s="47">
        <f t="shared" si="91"/>
        <v>2.0781186326138457E-2</v>
      </c>
      <c r="H1167" s="65">
        <v>1283.51839135</v>
      </c>
      <c r="I1167" s="47">
        <f t="shared" si="92"/>
        <v>6.9610952669063586E-4</v>
      </c>
      <c r="L1167" s="65">
        <v>533.21344362000002</v>
      </c>
      <c r="M1167" s="47">
        <f t="shared" si="93"/>
        <v>1.6901408536220686E-3</v>
      </c>
      <c r="P1167" s="65">
        <v>582.45111612999995</v>
      </c>
      <c r="Q1167" s="47">
        <f t="shared" si="94"/>
        <v>3.1578049083620385E-3</v>
      </c>
    </row>
    <row r="1168" spans="1:17" ht="14.4" x14ac:dyDescent="0.3">
      <c r="A1168" s="63">
        <v>45915</v>
      </c>
      <c r="B1168" s="64">
        <v>23215.85</v>
      </c>
      <c r="C1168" s="47">
        <f t="shared" si="90"/>
        <v>1.1039122044824712E-3</v>
      </c>
      <c r="D1168" s="65">
        <v>872.09221462999994</v>
      </c>
      <c r="E1168" s="47">
        <f t="shared" si="91"/>
        <v>6.2157846773018832E-3</v>
      </c>
      <c r="H1168" s="65">
        <v>1290.8595848</v>
      </c>
      <c r="I1168" s="47">
        <f t="shared" si="92"/>
        <v>5.7195857102434466E-3</v>
      </c>
      <c r="L1168" s="65">
        <v>542.31026089</v>
      </c>
      <c r="M1168" s="47">
        <f t="shared" si="93"/>
        <v>1.7060367436052326E-2</v>
      </c>
      <c r="P1168" s="65">
        <v>583.04575738999995</v>
      </c>
      <c r="Q1168" s="47">
        <f t="shared" si="94"/>
        <v>1.0209290419957995E-3</v>
      </c>
    </row>
    <row r="1169" spans="1:17" ht="14.4" x14ac:dyDescent="0.3">
      <c r="A1169" s="63">
        <v>45916</v>
      </c>
      <c r="B1169" s="64">
        <v>23369.3</v>
      </c>
      <c r="C1169" s="47">
        <f t="shared" si="90"/>
        <v>6.6097084534919581E-3</v>
      </c>
      <c r="D1169" s="65">
        <v>872.38876058000005</v>
      </c>
      <c r="E1169" s="47">
        <f t="shared" si="91"/>
        <v>3.4003967129314638E-4</v>
      </c>
      <c r="H1169" s="65">
        <v>1273.79627028</v>
      </c>
      <c r="I1169" s="47">
        <f t="shared" si="92"/>
        <v>-1.3218567473118004E-2</v>
      </c>
      <c r="L1169" s="65">
        <v>539.06079763000002</v>
      </c>
      <c r="M1169" s="47">
        <f t="shared" si="93"/>
        <v>-5.9918896881412387E-3</v>
      </c>
      <c r="P1169" s="65">
        <v>587.10913934999996</v>
      </c>
      <c r="Q1169" s="47">
        <f t="shared" si="94"/>
        <v>6.9692333894850744E-3</v>
      </c>
    </row>
    <row r="1170" spans="1:17" ht="14.4" x14ac:dyDescent="0.3">
      <c r="A1170" s="63">
        <v>45917</v>
      </c>
      <c r="B1170" s="64">
        <v>23445.200000000001</v>
      </c>
      <c r="C1170" s="47">
        <f t="shared" si="90"/>
        <v>3.2478508128186423E-3</v>
      </c>
      <c r="D1170" s="65">
        <v>871.25200110000003</v>
      </c>
      <c r="E1170" s="47">
        <f t="shared" si="91"/>
        <v>-1.303042326272319E-3</v>
      </c>
      <c r="H1170" s="65">
        <v>1261.0979897</v>
      </c>
      <c r="I1170" s="47">
        <f t="shared" si="92"/>
        <v>-9.9688473551652335E-3</v>
      </c>
      <c r="L1170" s="65">
        <v>540.36058255</v>
      </c>
      <c r="M1170" s="47">
        <f t="shared" si="93"/>
        <v>2.4112028285390164E-3</v>
      </c>
      <c r="P1170" s="65">
        <v>599.44794552999997</v>
      </c>
      <c r="Q1170" s="47">
        <f t="shared" si="94"/>
        <v>2.1016205255568909E-2</v>
      </c>
    </row>
    <row r="1171" spans="1:17" ht="14.4" x14ac:dyDescent="0.3">
      <c r="A1171" s="63">
        <v>45918</v>
      </c>
      <c r="B1171" s="64">
        <v>23518.9</v>
      </c>
      <c r="C1171" s="47">
        <f t="shared" si="90"/>
        <v>3.1435005886066847E-3</v>
      </c>
      <c r="D1171" s="65">
        <v>863.78892802999997</v>
      </c>
      <c r="E1171" s="47">
        <f t="shared" si="91"/>
        <v>-8.5659178522144996E-3</v>
      </c>
      <c r="H1171" s="65">
        <v>1256.1377238499999</v>
      </c>
      <c r="I1171" s="47">
        <f t="shared" si="92"/>
        <v>-3.9332913782378354E-3</v>
      </c>
      <c r="L1171" s="65">
        <v>535.46139325000001</v>
      </c>
      <c r="M1171" s="47">
        <f t="shared" si="93"/>
        <v>-9.0665186510836548E-3</v>
      </c>
      <c r="P1171" s="65">
        <v>591.96537632000002</v>
      </c>
      <c r="Q1171" s="47">
        <f t="shared" si="94"/>
        <v>-1.2482433655493286E-2</v>
      </c>
    </row>
    <row r="1172" spans="1:17" ht="14.4" x14ac:dyDescent="0.3">
      <c r="A1172" s="63">
        <v>45919</v>
      </c>
      <c r="B1172" s="64">
        <v>23486.65</v>
      </c>
      <c r="C1172" s="47">
        <f t="shared" si="90"/>
        <v>-1.3712376003979232E-3</v>
      </c>
      <c r="D1172" s="65">
        <v>856.12815765000005</v>
      </c>
      <c r="E1172" s="47">
        <f t="shared" si="91"/>
        <v>-8.86879899869919E-3</v>
      </c>
      <c r="H1172" s="65">
        <v>1258.9154727299999</v>
      </c>
      <c r="I1172" s="47">
        <f t="shared" si="92"/>
        <v>2.2113410235673481E-3</v>
      </c>
      <c r="L1172" s="65">
        <v>535.21143460999997</v>
      </c>
      <c r="M1172" s="47">
        <f t="shared" si="93"/>
        <v>-4.6680982634983437E-4</v>
      </c>
      <c r="P1172" s="65">
        <v>584.43325367</v>
      </c>
      <c r="Q1172" s="47">
        <f t="shared" si="94"/>
        <v>-1.2723924322777247E-2</v>
      </c>
    </row>
    <row r="1173" spans="1:17" ht="14.4" x14ac:dyDescent="0.3">
      <c r="A1173" s="63">
        <v>45922</v>
      </c>
      <c r="B1173" s="64">
        <v>23381.45</v>
      </c>
      <c r="C1173" s="47">
        <f t="shared" si="90"/>
        <v>-4.4791402775619105E-3</v>
      </c>
      <c r="D1173" s="65">
        <v>856.17758198000001</v>
      </c>
      <c r="E1173" s="47">
        <f t="shared" si="91"/>
        <v>5.7730060106564451E-5</v>
      </c>
      <c r="H1173" s="65">
        <v>1232.8244743600001</v>
      </c>
      <c r="I1173" s="47">
        <f t="shared" si="92"/>
        <v>-2.0724980298653883E-2</v>
      </c>
      <c r="L1173" s="65">
        <v>548.05930857999999</v>
      </c>
      <c r="M1173" s="47">
        <f t="shared" si="93"/>
        <v>2.4005230716645842E-2</v>
      </c>
      <c r="P1173" s="65">
        <v>578.33818072999998</v>
      </c>
      <c r="Q1173" s="47">
        <f t="shared" si="94"/>
        <v>-1.0429031718721449E-2</v>
      </c>
    </row>
    <row r="1174" spans="1:17" ht="14.4" x14ac:dyDescent="0.3">
      <c r="A1174" s="63">
        <v>45923</v>
      </c>
      <c r="B1174" s="64">
        <v>23325.25</v>
      </c>
      <c r="C1174" s="47">
        <f t="shared" si="90"/>
        <v>-2.4036148314154904E-3</v>
      </c>
      <c r="D1174" s="65">
        <v>873.72321735000003</v>
      </c>
      <c r="E1174" s="47">
        <f t="shared" si="91"/>
        <v>2.0492986197353957E-2</v>
      </c>
      <c r="H1174" s="65">
        <v>1241.4553369400001</v>
      </c>
      <c r="I1174" s="47">
        <f t="shared" si="92"/>
        <v>7.0008851701945929E-3</v>
      </c>
      <c r="L1174" s="65">
        <v>542.56021855999995</v>
      </c>
      <c r="M1174" s="47">
        <f t="shared" si="93"/>
        <v>-1.0033749876902864E-2</v>
      </c>
      <c r="P1174" s="65">
        <v>571.94578717000002</v>
      </c>
      <c r="Q1174" s="47">
        <f t="shared" si="94"/>
        <v>-1.1053037432063095E-2</v>
      </c>
    </row>
    <row r="1175" spans="1:17" ht="14.4" x14ac:dyDescent="0.3">
      <c r="A1175" s="63">
        <v>45924</v>
      </c>
      <c r="B1175" s="64">
        <v>23178.25</v>
      </c>
      <c r="C1175" s="47">
        <f t="shared" si="90"/>
        <v>-6.302183256342353E-3</v>
      </c>
      <c r="D1175" s="65">
        <v>872.68530653000005</v>
      </c>
      <c r="E1175" s="47">
        <f t="shared" si="91"/>
        <v>-1.1879171794793031E-3</v>
      </c>
      <c r="H1175" s="65">
        <v>1250.97904737</v>
      </c>
      <c r="I1175" s="47">
        <f t="shared" si="92"/>
        <v>7.6714080213908797E-3</v>
      </c>
      <c r="L1175" s="65">
        <v>536.21126917000004</v>
      </c>
      <c r="M1175" s="47">
        <f t="shared" si="93"/>
        <v>-1.1701833589735977E-2</v>
      </c>
      <c r="P1175" s="65">
        <v>584.48280710999995</v>
      </c>
      <c r="Q1175" s="47">
        <f t="shared" si="94"/>
        <v>2.1919944549348536E-2</v>
      </c>
    </row>
    <row r="1176" spans="1:17" ht="14.4" x14ac:dyDescent="0.3">
      <c r="A1176" s="63">
        <v>45925</v>
      </c>
      <c r="B1176" s="64">
        <v>23022.400000000001</v>
      </c>
      <c r="C1176" s="47">
        <f t="shared" si="90"/>
        <v>-6.7239761414256138E-3</v>
      </c>
      <c r="D1176" s="65">
        <v>858.89591985000004</v>
      </c>
      <c r="E1176" s="47">
        <f t="shared" si="91"/>
        <v>-1.5801098720029771E-2</v>
      </c>
      <c r="H1176" s="65">
        <v>1245.12593367</v>
      </c>
      <c r="I1176" s="47">
        <f t="shared" si="92"/>
        <v>-4.678826325912766E-3</v>
      </c>
      <c r="L1176" s="65">
        <v>532.76183996999998</v>
      </c>
      <c r="M1176" s="47">
        <f t="shared" si="93"/>
        <v>-6.4329666277611608E-3</v>
      </c>
      <c r="P1176" s="65">
        <v>559.90430160999995</v>
      </c>
      <c r="Q1176" s="47">
        <f t="shared" si="94"/>
        <v>-4.2051716835828756E-2</v>
      </c>
    </row>
    <row r="1177" spans="1:17" ht="14.4" x14ac:dyDescent="0.3">
      <c r="A1177" s="63">
        <v>45926</v>
      </c>
      <c r="B1177" s="64">
        <v>22713.15</v>
      </c>
      <c r="C1177" s="47">
        <f t="shared" si="90"/>
        <v>-1.34325700187643E-2</v>
      </c>
      <c r="D1177" s="65">
        <v>836.30900333</v>
      </c>
      <c r="E1177" s="47">
        <f t="shared" si="91"/>
        <v>-2.6297617671701912E-2</v>
      </c>
      <c r="H1177" s="65">
        <v>1231.43559992</v>
      </c>
      <c r="I1177" s="47">
        <f t="shared" si="92"/>
        <v>-1.0995139832681744E-2</v>
      </c>
      <c r="L1177" s="65">
        <v>511.26539714</v>
      </c>
      <c r="M1177" s="47">
        <f t="shared" si="93"/>
        <v>-4.0349066350567564E-2</v>
      </c>
      <c r="P1177" s="65">
        <v>538.49721618000001</v>
      </c>
      <c r="Q1177" s="47">
        <f t="shared" si="94"/>
        <v>-3.8233471985201883E-2</v>
      </c>
    </row>
    <row r="1178" spans="1:17" ht="14.4" x14ac:dyDescent="0.3">
      <c r="A1178" s="63">
        <v>45929</v>
      </c>
      <c r="B1178" s="64">
        <v>22739.1</v>
      </c>
      <c r="C1178" s="47">
        <f t="shared" si="90"/>
        <v>1.1425099556863216E-3</v>
      </c>
      <c r="D1178" s="65">
        <v>822.76673828000003</v>
      </c>
      <c r="E1178" s="47">
        <f t="shared" si="91"/>
        <v>-1.6192896400825108E-2</v>
      </c>
      <c r="H1178" s="65">
        <v>1217.05082896</v>
      </c>
      <c r="I1178" s="47">
        <f t="shared" si="92"/>
        <v>-1.1681301856901416E-2</v>
      </c>
      <c r="L1178" s="65">
        <v>512.11525650999999</v>
      </c>
      <c r="M1178" s="47">
        <f t="shared" si="93"/>
        <v>1.6622665542280757E-3</v>
      </c>
      <c r="P1178" s="65">
        <v>549.99361391000002</v>
      </c>
      <c r="Q1178" s="47">
        <f t="shared" si="94"/>
        <v>2.1349038369322226E-2</v>
      </c>
    </row>
    <row r="1179" spans="1:17" ht="14.4" x14ac:dyDescent="0.3">
      <c r="A1179" s="63">
        <v>45930</v>
      </c>
      <c r="B1179" s="64">
        <v>22734.1</v>
      </c>
      <c r="C1179" s="47">
        <f t="shared" si="90"/>
        <v>-2.1988557154861699E-4</v>
      </c>
      <c r="D1179" s="65">
        <v>862.89929017999998</v>
      </c>
      <c r="E1179" s="47">
        <f t="shared" si="91"/>
        <v>4.8777557517574621E-2</v>
      </c>
      <c r="H1179" s="65">
        <v>1244.8283177200001</v>
      </c>
      <c r="I1179" s="47">
        <f t="shared" si="92"/>
        <v>2.2823606129693585E-2</v>
      </c>
      <c r="L1179" s="65">
        <v>514.96478497999999</v>
      </c>
      <c r="M1179" s="47">
        <f t="shared" si="93"/>
        <v>5.5642327264748825E-3</v>
      </c>
      <c r="P1179" s="65">
        <v>540.18203309</v>
      </c>
      <c r="Q1179" s="47">
        <f t="shared" si="94"/>
        <v>-1.7839444989638631E-2</v>
      </c>
    </row>
    <row r="1180" spans="1:17" ht="14.4" x14ac:dyDescent="0.3">
      <c r="A1180" s="63">
        <v>45931</v>
      </c>
      <c r="B1180" s="64">
        <v>22928.3</v>
      </c>
      <c r="C1180" s="47">
        <f t="shared" si="90"/>
        <v>8.5422339129326286E-3</v>
      </c>
      <c r="D1180" s="65">
        <v>843.87092504999998</v>
      </c>
      <c r="E1180" s="47">
        <f t="shared" si="91"/>
        <v>-2.2051663903942642E-2</v>
      </c>
      <c r="H1180" s="65">
        <v>1234.4117594300001</v>
      </c>
      <c r="I1180" s="47">
        <f t="shared" si="92"/>
        <v>-8.3678673932151559E-3</v>
      </c>
      <c r="L1180" s="65">
        <v>526.36289884999997</v>
      </c>
      <c r="M1180" s="47">
        <f t="shared" si="93"/>
        <v>2.213377341994871E-2</v>
      </c>
      <c r="P1180" s="65">
        <v>542.95702563999998</v>
      </c>
      <c r="Q1180" s="47">
        <f t="shared" si="94"/>
        <v>5.1371433702194214E-3</v>
      </c>
    </row>
    <row r="1181" spans="1:17" ht="14.4" x14ac:dyDescent="0.3">
      <c r="A1181" s="63">
        <v>45933</v>
      </c>
      <c r="B1181" s="64">
        <v>23027.7</v>
      </c>
      <c r="C1181" s="47">
        <f t="shared" si="90"/>
        <v>4.3352538129735052E-3</v>
      </c>
      <c r="D1181" s="65">
        <v>844.71113858000001</v>
      </c>
      <c r="E1181" s="47">
        <f t="shared" si="91"/>
        <v>9.9566593072308862E-4</v>
      </c>
      <c r="H1181" s="65">
        <v>1238.97520401</v>
      </c>
      <c r="I1181" s="47">
        <f t="shared" si="92"/>
        <v>3.6968576693623412E-3</v>
      </c>
      <c r="L1181" s="65">
        <v>524.16326284000002</v>
      </c>
      <c r="M1181" s="47">
        <f t="shared" si="93"/>
        <v>-4.1789343717152372E-3</v>
      </c>
      <c r="P1181" s="65">
        <v>539.14141087999997</v>
      </c>
      <c r="Q1181" s="47">
        <f t="shared" si="94"/>
        <v>-7.0274710148605646E-3</v>
      </c>
    </row>
    <row r="1182" spans="1:17" ht="14.4" x14ac:dyDescent="0.3">
      <c r="A1182" s="63">
        <v>45936</v>
      </c>
      <c r="B1182" s="64">
        <v>23169.65</v>
      </c>
      <c r="C1182" s="47">
        <f t="shared" si="90"/>
        <v>6.1643151508834482E-3</v>
      </c>
      <c r="D1182" s="65">
        <v>847.67659807999996</v>
      </c>
      <c r="E1182" s="47">
        <f t="shared" si="91"/>
        <v>3.5106196243428478E-3</v>
      </c>
      <c r="H1182" s="65">
        <v>1242.1497741600001</v>
      </c>
      <c r="I1182" s="47">
        <f t="shared" si="92"/>
        <v>2.5622547890591374E-3</v>
      </c>
      <c r="L1182" s="65">
        <v>520.41388328000005</v>
      </c>
      <c r="M1182" s="47">
        <f t="shared" si="93"/>
        <v>-7.1530758178000031E-3</v>
      </c>
      <c r="P1182" s="65">
        <v>537.60525428999995</v>
      </c>
      <c r="Q1182" s="47">
        <f t="shared" si="94"/>
        <v>-2.849264699390619E-3</v>
      </c>
    </row>
    <row r="1183" spans="1:17" ht="14.4" x14ac:dyDescent="0.3">
      <c r="A1183" s="63">
        <v>45937</v>
      </c>
      <c r="B1183" s="64">
        <v>23209.5</v>
      </c>
      <c r="C1183" s="47">
        <f t="shared" si="90"/>
        <v>1.7199223984825096E-3</v>
      </c>
      <c r="D1183" s="65">
        <v>852.2730603</v>
      </c>
      <c r="E1183" s="47">
        <f t="shared" si="91"/>
        <v>5.4224243425040619E-3</v>
      </c>
      <c r="H1183" s="65">
        <v>1262.6852747800001</v>
      </c>
      <c r="I1183" s="47">
        <f t="shared" si="92"/>
        <v>1.6532225861319416E-2</v>
      </c>
      <c r="L1183" s="65">
        <v>514.96478497999999</v>
      </c>
      <c r="M1183" s="47">
        <f t="shared" si="93"/>
        <v>-1.0470701253502579E-2</v>
      </c>
      <c r="P1183" s="65">
        <v>532.40214323999999</v>
      </c>
      <c r="Q1183" s="47">
        <f t="shared" si="94"/>
        <v>-9.6783113789904451E-3</v>
      </c>
    </row>
    <row r="1184" spans="1:17" ht="14.4" x14ac:dyDescent="0.3">
      <c r="A1184" s="63">
        <v>45938</v>
      </c>
      <c r="B1184" s="64">
        <v>23109.35</v>
      </c>
      <c r="C1184" s="47">
        <f t="shared" si="90"/>
        <v>-4.3150434089489487E-3</v>
      </c>
      <c r="D1184" s="65">
        <v>852.02593867999997</v>
      </c>
      <c r="E1184" s="47">
        <f t="shared" si="91"/>
        <v>-2.8995592083247423E-4</v>
      </c>
      <c r="H1184" s="65">
        <v>1234.5109647500001</v>
      </c>
      <c r="I1184" s="47">
        <f t="shared" si="92"/>
        <v>-2.2313010686616952E-2</v>
      </c>
      <c r="L1184" s="65">
        <v>514.76481807000005</v>
      </c>
      <c r="M1184" s="47">
        <f t="shared" si="93"/>
        <v>-3.883118143849229E-4</v>
      </c>
      <c r="P1184" s="65">
        <v>530.02357819999997</v>
      </c>
      <c r="Q1184" s="47">
        <f t="shared" si="94"/>
        <v>-4.4676098137489406E-3</v>
      </c>
    </row>
    <row r="1185" spans="1:17" ht="14.4" x14ac:dyDescent="0.3">
      <c r="A1185" s="63">
        <v>45939</v>
      </c>
      <c r="B1185" s="64">
        <v>23241.75</v>
      </c>
      <c r="C1185" s="47">
        <f t="shared" si="90"/>
        <v>5.7292827362085408E-3</v>
      </c>
      <c r="D1185" s="65">
        <v>845.35365479999996</v>
      </c>
      <c r="E1185" s="47">
        <f t="shared" si="91"/>
        <v>-7.8310806949575262E-3</v>
      </c>
      <c r="H1185" s="65">
        <v>1243.7370592300001</v>
      </c>
      <c r="I1185" s="47">
        <f t="shared" si="92"/>
        <v>7.4734811949348501E-3</v>
      </c>
      <c r="L1185" s="65">
        <v>509.81563704000001</v>
      </c>
      <c r="M1185" s="47">
        <f t="shared" si="93"/>
        <v>-9.6144508254388805E-3</v>
      </c>
      <c r="P1185" s="65">
        <v>533.44276545000002</v>
      </c>
      <c r="Q1185" s="47">
        <f t="shared" si="94"/>
        <v>6.4510097109489184E-3</v>
      </c>
    </row>
    <row r="1186" spans="1:17" ht="14.4" x14ac:dyDescent="0.3">
      <c r="A1186" s="63">
        <v>45940</v>
      </c>
      <c r="B1186" s="64">
        <v>23337.55</v>
      </c>
      <c r="C1186" s="47">
        <f t="shared" si="90"/>
        <v>4.1218927146191575E-3</v>
      </c>
      <c r="D1186" s="65">
        <v>843.96977370000002</v>
      </c>
      <c r="E1186" s="47">
        <f t="shared" si="91"/>
        <v>-1.6370439663235814E-3</v>
      </c>
      <c r="H1186" s="65">
        <v>1239.86805187</v>
      </c>
      <c r="I1186" s="47">
        <f t="shared" si="92"/>
        <v>-3.1107920531011635E-3</v>
      </c>
      <c r="L1186" s="65">
        <v>516.01461126000004</v>
      </c>
      <c r="M1186" s="47">
        <f t="shared" si="93"/>
        <v>1.2159246930893319E-2</v>
      </c>
      <c r="P1186" s="65">
        <v>538.24944899000002</v>
      </c>
      <c r="Q1186" s="47">
        <f t="shared" si="94"/>
        <v>9.010682778582968E-3</v>
      </c>
    </row>
    <row r="1187" spans="1:17" ht="14.4" x14ac:dyDescent="0.3">
      <c r="A1187" s="63">
        <v>45943</v>
      </c>
      <c r="B1187" s="64">
        <v>23294.799999999999</v>
      </c>
      <c r="C1187" s="47">
        <f t="shared" si="90"/>
        <v>-1.8318118225777447E-3</v>
      </c>
      <c r="D1187" s="65">
        <v>848.26968997999995</v>
      </c>
      <c r="E1187" s="47">
        <f t="shared" si="91"/>
        <v>5.094869998896856E-3</v>
      </c>
      <c r="H1187" s="65">
        <v>1248.9949410300001</v>
      </c>
      <c r="I1187" s="47">
        <f t="shared" si="92"/>
        <v>7.3611777851962934E-3</v>
      </c>
      <c r="L1187" s="65">
        <v>512.86513242000001</v>
      </c>
      <c r="M1187" s="47">
        <f t="shared" si="93"/>
        <v>-6.1034683345684293E-3</v>
      </c>
      <c r="P1187" s="65">
        <v>540.08292620999998</v>
      </c>
      <c r="Q1187" s="47">
        <f t="shared" si="94"/>
        <v>3.406370825721039E-3</v>
      </c>
    </row>
    <row r="1188" spans="1:17" ht="14.4" x14ac:dyDescent="0.3">
      <c r="A1188" s="63">
        <v>45944</v>
      </c>
      <c r="B1188" s="64">
        <v>23184.05</v>
      </c>
      <c r="C1188" s="47">
        <f t="shared" si="90"/>
        <v>-4.7542799251335532E-3</v>
      </c>
      <c r="D1188" s="65">
        <v>847.28120348000004</v>
      </c>
      <c r="E1188" s="47">
        <f t="shared" si="91"/>
        <v>-1.1652974421650919E-3</v>
      </c>
      <c r="H1188" s="65">
        <v>1262.28845351</v>
      </c>
      <c r="I1188" s="47">
        <f t="shared" si="92"/>
        <v>1.0643367753785382E-2</v>
      </c>
      <c r="L1188" s="65">
        <v>505.41636503000001</v>
      </c>
      <c r="M1188" s="47">
        <f t="shared" si="93"/>
        <v>-1.4523832717682206E-2</v>
      </c>
      <c r="P1188" s="65">
        <v>543.05613252000001</v>
      </c>
      <c r="Q1188" s="47">
        <f t="shared" si="94"/>
        <v>5.5050922103099253E-3</v>
      </c>
    </row>
    <row r="1189" spans="1:17" ht="14.4" x14ac:dyDescent="0.3">
      <c r="A1189" s="63">
        <v>45945</v>
      </c>
      <c r="B1189" s="64">
        <v>23377.35</v>
      </c>
      <c r="C1189" s="47">
        <f t="shared" si="90"/>
        <v>8.3376286714356151E-3</v>
      </c>
      <c r="D1189" s="65">
        <v>842.68474125</v>
      </c>
      <c r="E1189" s="47">
        <f t="shared" si="91"/>
        <v>-5.4249547979127177E-3</v>
      </c>
      <c r="H1189" s="65">
        <v>1242.8442113799999</v>
      </c>
      <c r="I1189" s="47">
        <f t="shared" si="92"/>
        <v>-1.5403961016938861E-2</v>
      </c>
      <c r="L1189" s="65">
        <v>511.86529787000001</v>
      </c>
      <c r="M1189" s="47">
        <f t="shared" si="93"/>
        <v>1.2759643901948392E-2</v>
      </c>
      <c r="P1189" s="65">
        <v>543.10568595999996</v>
      </c>
      <c r="Q1189" s="47">
        <f t="shared" si="94"/>
        <v>9.1249204331900202E-5</v>
      </c>
    </row>
    <row r="1190" spans="1:17" ht="14.4" x14ac:dyDescent="0.3">
      <c r="A1190" s="63">
        <v>45946</v>
      </c>
      <c r="B1190" s="64">
        <v>23563.8</v>
      </c>
      <c r="C1190" s="47">
        <f t="shared" si="90"/>
        <v>7.9756687562961837E-3</v>
      </c>
      <c r="D1190" s="65">
        <v>844.61228992999997</v>
      </c>
      <c r="E1190" s="47">
        <f t="shared" si="91"/>
        <v>2.2873900352589072E-3</v>
      </c>
      <c r="H1190" s="65">
        <v>1268.83600443</v>
      </c>
      <c r="I1190" s="47">
        <f t="shared" si="92"/>
        <v>2.0913154530558531E-2</v>
      </c>
      <c r="L1190" s="65">
        <v>513.26506624000001</v>
      </c>
      <c r="M1190" s="47">
        <f t="shared" si="93"/>
        <v>2.7346420549014816E-3</v>
      </c>
      <c r="P1190" s="65">
        <v>538.24944899000002</v>
      </c>
      <c r="Q1190" s="47">
        <f t="shared" si="94"/>
        <v>-8.9416058338921411E-3</v>
      </c>
    </row>
    <row r="1191" spans="1:17" ht="14.4" x14ac:dyDescent="0.3">
      <c r="A1191" s="63">
        <v>45947</v>
      </c>
      <c r="B1191" s="64">
        <v>23598.05</v>
      </c>
      <c r="C1191" s="47">
        <f t="shared" si="90"/>
        <v>1.4535007087141949E-3</v>
      </c>
      <c r="D1191" s="65">
        <v>835.76533574999996</v>
      </c>
      <c r="E1191" s="47">
        <f t="shared" si="91"/>
        <v>-1.0474574293411254E-2</v>
      </c>
      <c r="H1191" s="65">
        <v>1259.60990995</v>
      </c>
      <c r="I1191" s="47">
        <f t="shared" si="92"/>
        <v>-7.2713057067959053E-3</v>
      </c>
      <c r="L1191" s="65">
        <v>505.36637330000002</v>
      </c>
      <c r="M1191" s="47">
        <f t="shared" si="93"/>
        <v>-1.5389110733491029E-2</v>
      </c>
      <c r="P1191" s="65">
        <v>534.92936860999998</v>
      </c>
      <c r="Q1191" s="47">
        <f t="shared" si="94"/>
        <v>-6.1682931329145596E-3</v>
      </c>
    </row>
    <row r="1192" spans="1:17" ht="14.4" x14ac:dyDescent="0.3">
      <c r="A1192" s="63">
        <v>45950</v>
      </c>
      <c r="B1192" s="64">
        <v>23716.1</v>
      </c>
      <c r="C1192" s="47">
        <f t="shared" si="90"/>
        <v>5.0025319888720166E-3</v>
      </c>
      <c r="D1192" s="65">
        <v>842.68474125</v>
      </c>
      <c r="E1192" s="47">
        <f t="shared" si="91"/>
        <v>8.2791247782376676E-3</v>
      </c>
      <c r="H1192" s="65">
        <v>1252.56633244</v>
      </c>
      <c r="I1192" s="47">
        <f t="shared" si="92"/>
        <v>-5.591872098147932E-3</v>
      </c>
      <c r="L1192" s="65">
        <v>510.56551295999998</v>
      </c>
      <c r="M1192" s="47">
        <f t="shared" si="93"/>
        <v>1.0287862300869088E-2</v>
      </c>
      <c r="P1192" s="65">
        <v>533.54187233000005</v>
      </c>
      <c r="Q1192" s="47">
        <f t="shared" si="94"/>
        <v>-2.5937934266074825E-3</v>
      </c>
    </row>
    <row r="1193" spans="1:17" ht="14.4" x14ac:dyDescent="0.3">
      <c r="A1193" s="63">
        <v>45951</v>
      </c>
      <c r="B1193" s="64">
        <v>23759.200000000001</v>
      </c>
      <c r="C1193" s="47">
        <f t="shared" si="90"/>
        <v>1.8173308427609225E-3</v>
      </c>
      <c r="D1193" s="65">
        <v>844.41459263000002</v>
      </c>
      <c r="E1193" s="47">
        <f t="shared" si="91"/>
        <v>2.052785929687051E-3</v>
      </c>
      <c r="H1193" s="65">
        <v>1258.51865146</v>
      </c>
      <c r="I1193" s="47">
        <f t="shared" si="92"/>
        <v>4.7520988436635658E-3</v>
      </c>
      <c r="L1193" s="65">
        <v>510.01560396000002</v>
      </c>
      <c r="M1193" s="47">
        <f t="shared" si="93"/>
        <v>-1.0770586458374032E-3</v>
      </c>
      <c r="P1193" s="65">
        <v>537.35748708999995</v>
      </c>
      <c r="Q1193" s="47">
        <f t="shared" si="94"/>
        <v>7.1514813698443369E-3</v>
      </c>
    </row>
    <row r="1194" spans="1:17" ht="14.4" x14ac:dyDescent="0.3">
      <c r="A1194" s="63">
        <v>45953</v>
      </c>
      <c r="B1194" s="64">
        <v>23755.9</v>
      </c>
      <c r="C1194" s="47">
        <f t="shared" si="90"/>
        <v>-1.3889356543983489E-4</v>
      </c>
      <c r="D1194" s="65">
        <v>839.07676552999999</v>
      </c>
      <c r="E1194" s="47">
        <f t="shared" si="91"/>
        <v>-6.3213345039134783E-3</v>
      </c>
      <c r="H1194" s="65">
        <v>1251.67348459</v>
      </c>
      <c r="I1194" s="47">
        <f t="shared" si="92"/>
        <v>-5.4390666853120218E-3</v>
      </c>
      <c r="L1194" s="65">
        <v>523.96329592999996</v>
      </c>
      <c r="M1194" s="47">
        <f t="shared" si="93"/>
        <v>2.7347578900926761E-2</v>
      </c>
      <c r="P1194" s="65">
        <v>528.28920785000003</v>
      </c>
      <c r="Q1194" s="47">
        <f t="shared" si="94"/>
        <v>-1.6875691616596189E-2</v>
      </c>
    </row>
    <row r="1195" spans="1:17" ht="14.4" x14ac:dyDescent="0.3">
      <c r="A1195" s="63">
        <v>45954</v>
      </c>
      <c r="B1195" s="64">
        <v>23686.6</v>
      </c>
      <c r="C1195" s="47">
        <f t="shared" si="90"/>
        <v>-2.9171700503876075E-3</v>
      </c>
      <c r="D1195" s="65">
        <v>835.66648710000004</v>
      </c>
      <c r="E1195" s="47">
        <f t="shared" si="91"/>
        <v>-4.064322324365488E-3</v>
      </c>
      <c r="H1195" s="65">
        <v>1240.86010504</v>
      </c>
      <c r="I1195" s="47">
        <f t="shared" si="92"/>
        <v>-8.6391376689920474E-3</v>
      </c>
      <c r="L1195" s="65">
        <v>521.71366819000002</v>
      </c>
      <c r="M1195" s="47">
        <f t="shared" si="93"/>
        <v>-4.2934834509867903E-3</v>
      </c>
      <c r="P1195" s="65">
        <v>520.85619207000002</v>
      </c>
      <c r="Q1195" s="47">
        <f t="shared" si="94"/>
        <v>-1.4069974683470154E-2</v>
      </c>
    </row>
    <row r="1196" spans="1:17" ht="14.4" x14ac:dyDescent="0.3">
      <c r="A1196" s="63">
        <v>45957</v>
      </c>
      <c r="B1196" s="64">
        <v>23840.9</v>
      </c>
      <c r="C1196" s="47">
        <f t="shared" si="90"/>
        <v>6.5142316752933027E-3</v>
      </c>
      <c r="D1196" s="65">
        <v>831.07002488000001</v>
      </c>
      <c r="E1196" s="47">
        <f t="shared" si="91"/>
        <v>-5.500354855620726E-3</v>
      </c>
      <c r="H1196" s="65">
        <v>1224.1936117800001</v>
      </c>
      <c r="I1196" s="47">
        <f t="shared" si="92"/>
        <v>-1.3431403904683226E-2</v>
      </c>
      <c r="L1196" s="65">
        <v>517.51436307999995</v>
      </c>
      <c r="M1196" s="47">
        <f t="shared" si="93"/>
        <v>-8.0490609428901516E-3</v>
      </c>
      <c r="P1196" s="65">
        <v>524.77091371999995</v>
      </c>
      <c r="Q1196" s="47">
        <f t="shared" si="94"/>
        <v>7.5159357027934082E-3</v>
      </c>
    </row>
    <row r="1197" spans="1:17" ht="14.4" x14ac:dyDescent="0.3">
      <c r="A1197" s="63">
        <v>45958</v>
      </c>
      <c r="B1197" s="64">
        <v>23812.55</v>
      </c>
      <c r="C1197" s="47">
        <f t="shared" si="90"/>
        <v>-1.189132960584649E-3</v>
      </c>
      <c r="D1197" s="65">
        <v>822.61846530000003</v>
      </c>
      <c r="E1197" s="47">
        <f t="shared" si="91"/>
        <v>-1.0169491531378916E-2</v>
      </c>
      <c r="H1197" s="65">
        <v>1259.2130886800001</v>
      </c>
      <c r="I1197" s="47">
        <f t="shared" si="92"/>
        <v>2.8606158832246376E-2</v>
      </c>
      <c r="L1197" s="65">
        <v>514.26490078999996</v>
      </c>
      <c r="M1197" s="47">
        <f t="shared" si="93"/>
        <v>-6.2789799120950285E-3</v>
      </c>
      <c r="P1197" s="65">
        <v>524.52314651999995</v>
      </c>
      <c r="Q1197" s="47">
        <f t="shared" si="94"/>
        <v>-4.7214354592106655E-4</v>
      </c>
    </row>
    <row r="1198" spans="1:17" ht="14.4" x14ac:dyDescent="0.3">
      <c r="A1198" s="63">
        <v>45959</v>
      </c>
      <c r="B1198" s="64">
        <v>23952.400000000001</v>
      </c>
      <c r="C1198" s="47">
        <f t="shared" si="90"/>
        <v>5.8729535476040873E-3</v>
      </c>
      <c r="D1198" s="65">
        <v>817.37948685000003</v>
      </c>
      <c r="E1198" s="47">
        <f t="shared" si="91"/>
        <v>-6.3686613794761149E-3</v>
      </c>
      <c r="H1198" s="65">
        <v>1248.7965303999999</v>
      </c>
      <c r="I1198" s="47">
        <f t="shared" si="92"/>
        <v>-8.2722760537055073E-3</v>
      </c>
      <c r="L1198" s="65">
        <v>522.11360201000002</v>
      </c>
      <c r="M1198" s="47">
        <f t="shared" si="93"/>
        <v>1.5261981146181824E-2</v>
      </c>
      <c r="P1198" s="65">
        <v>525.11778777999996</v>
      </c>
      <c r="Q1198" s="47">
        <f t="shared" si="94"/>
        <v>1.1336797316672254E-3</v>
      </c>
    </row>
    <row r="1199" spans="1:17" ht="14.4" x14ac:dyDescent="0.3">
      <c r="A1199" s="63">
        <v>45960</v>
      </c>
      <c r="B1199" s="64">
        <v>23841.3</v>
      </c>
      <c r="C1199" s="47">
        <f t="shared" si="90"/>
        <v>-4.6383660927507009E-3</v>
      </c>
      <c r="D1199" s="65">
        <v>814.85884627999997</v>
      </c>
      <c r="E1199" s="47">
        <f t="shared" si="91"/>
        <v>-3.0838069838454718E-3</v>
      </c>
      <c r="H1199" s="65">
        <v>1252.3679218100001</v>
      </c>
      <c r="I1199" s="47">
        <f t="shared" si="92"/>
        <v>2.8598665379508947E-3</v>
      </c>
      <c r="L1199" s="65">
        <v>524.16326284000002</v>
      </c>
      <c r="M1199" s="47">
        <f t="shared" si="93"/>
        <v>3.9256989707017187E-3</v>
      </c>
      <c r="P1199" s="65">
        <v>523.43297087999997</v>
      </c>
      <c r="Q1199" s="47">
        <f t="shared" si="94"/>
        <v>-3.2084552060648308E-3</v>
      </c>
    </row>
    <row r="1200" spans="1:17" ht="14.4" x14ac:dyDescent="0.3">
      <c r="A1200" s="63">
        <v>45961</v>
      </c>
      <c r="B1200" s="64">
        <v>23710.400000000001</v>
      </c>
      <c r="C1200" s="47">
        <f t="shared" si="90"/>
        <v>-5.4904724155141471E-3</v>
      </c>
      <c r="D1200" s="65">
        <v>808.33483537999996</v>
      </c>
      <c r="E1200" s="47">
        <f t="shared" si="91"/>
        <v>-8.0063080001935294E-3</v>
      </c>
      <c r="H1200" s="65">
        <v>1246.4156027900001</v>
      </c>
      <c r="I1200" s="47">
        <f t="shared" si="92"/>
        <v>-4.7528517110190238E-3</v>
      </c>
      <c r="L1200" s="65">
        <v>524.36322974999996</v>
      </c>
      <c r="M1200" s="47">
        <f t="shared" si="93"/>
        <v>3.814973772036101E-4</v>
      </c>
      <c r="P1200" s="65">
        <v>509.16158059000003</v>
      </c>
      <c r="Q1200" s="47">
        <f t="shared" si="94"/>
        <v>-2.7264981542921785E-2</v>
      </c>
    </row>
    <row r="1201" spans="1:17" ht="14.4" x14ac:dyDescent="0.3">
      <c r="A1201" s="63">
        <v>45964</v>
      </c>
      <c r="B1201" s="64">
        <v>23810.7</v>
      </c>
      <c r="C1201" s="47">
        <f t="shared" si="90"/>
        <v>4.2302112153316251E-3</v>
      </c>
      <c r="D1201" s="65">
        <v>802.15679475000002</v>
      </c>
      <c r="E1201" s="47">
        <f t="shared" si="91"/>
        <v>-7.6429226597609645E-3</v>
      </c>
      <c r="H1201" s="65">
        <v>1263.1813013599999</v>
      </c>
      <c r="I1201" s="47">
        <f t="shared" si="92"/>
        <v>1.3451130210879292E-2</v>
      </c>
      <c r="L1201" s="65">
        <v>519.96395772999995</v>
      </c>
      <c r="M1201" s="47">
        <f t="shared" si="93"/>
        <v>-8.3897416340529274E-3</v>
      </c>
      <c r="P1201" s="65">
        <v>499.30044633</v>
      </c>
      <c r="Q1201" s="47">
        <f t="shared" si="94"/>
        <v>-1.9367396590632913E-2</v>
      </c>
    </row>
    <row r="1202" spans="1:17" ht="14.4" x14ac:dyDescent="0.3">
      <c r="A1202" s="63">
        <v>45965</v>
      </c>
      <c r="B1202" s="64">
        <v>23675.45</v>
      </c>
      <c r="C1202" s="47">
        <f t="shared" si="90"/>
        <v>-5.6802193971617898E-3</v>
      </c>
      <c r="D1202" s="65">
        <v>799.88327579999998</v>
      </c>
      <c r="E1202" s="47">
        <f t="shared" si="91"/>
        <v>-2.8342575477511289E-3</v>
      </c>
      <c r="H1202" s="65">
        <v>1304.05389197</v>
      </c>
      <c r="I1202" s="47">
        <f t="shared" si="92"/>
        <v>3.2356867985612769E-2</v>
      </c>
      <c r="L1202" s="65">
        <v>515.66466916000002</v>
      </c>
      <c r="M1202" s="47">
        <f t="shared" si="93"/>
        <v>-8.2684357369100514E-3</v>
      </c>
      <c r="P1202" s="65">
        <v>500.63838916999998</v>
      </c>
      <c r="Q1202" s="47">
        <f t="shared" si="94"/>
        <v>2.6796347766846473E-3</v>
      </c>
    </row>
    <row r="1203" spans="1:17" ht="14.4" x14ac:dyDescent="0.3">
      <c r="A1203" s="63">
        <v>45967</v>
      </c>
      <c r="B1203" s="64">
        <v>23513.15</v>
      </c>
      <c r="C1203" s="47">
        <f t="shared" si="90"/>
        <v>-6.8552023298394937E-3</v>
      </c>
      <c r="D1203" s="65">
        <v>777.93887549999999</v>
      </c>
      <c r="E1203" s="47">
        <f t="shared" si="91"/>
        <v>-2.7434503213049855E-2</v>
      </c>
      <c r="H1203" s="65">
        <v>1294.0341549499999</v>
      </c>
      <c r="I1203" s="47">
        <f t="shared" si="92"/>
        <v>-7.6835298615332004E-3</v>
      </c>
      <c r="L1203" s="65">
        <v>517.51436307999995</v>
      </c>
      <c r="M1203" s="47">
        <f t="shared" si="93"/>
        <v>3.5870092147538557E-3</v>
      </c>
      <c r="P1203" s="65">
        <v>499.34999976</v>
      </c>
      <c r="Q1203" s="47">
        <f t="shared" si="94"/>
        <v>-2.5734930398285671E-3</v>
      </c>
    </row>
    <row r="1204" spans="1:17" ht="14.4" x14ac:dyDescent="0.3">
      <c r="A1204" s="63">
        <v>45968</v>
      </c>
      <c r="B1204" s="64">
        <v>23521.5</v>
      </c>
      <c r="C1204" s="47">
        <f t="shared" si="90"/>
        <v>3.5512043260887971E-4</v>
      </c>
      <c r="D1204" s="65">
        <v>750.60722378000003</v>
      </c>
      <c r="E1204" s="47">
        <f t="shared" si="91"/>
        <v>-3.5133418036774722E-2</v>
      </c>
      <c r="H1204" s="65">
        <v>1285.601703</v>
      </c>
      <c r="I1204" s="47">
        <f t="shared" si="92"/>
        <v>-6.5164060142799407E-3</v>
      </c>
      <c r="L1204" s="65">
        <v>509.56567840999998</v>
      </c>
      <c r="M1204" s="47">
        <f t="shared" si="93"/>
        <v>-1.5359350845246422E-2</v>
      </c>
      <c r="P1204" s="65">
        <v>493.75046121000003</v>
      </c>
      <c r="Q1204" s="47">
        <f t="shared" si="94"/>
        <v>-1.1213654856696231E-2</v>
      </c>
    </row>
    <row r="1205" spans="1:17" ht="14.4" x14ac:dyDescent="0.3">
      <c r="A1205" s="63">
        <v>45971</v>
      </c>
      <c r="B1205" s="64">
        <v>23596.9</v>
      </c>
      <c r="C1205" s="47">
        <f t="shared" si="90"/>
        <v>3.205577875560639E-3</v>
      </c>
      <c r="D1205" s="65">
        <v>713.93437462999998</v>
      </c>
      <c r="E1205" s="47">
        <f t="shared" si="91"/>
        <v>-4.8857575557717636E-2</v>
      </c>
      <c r="H1205" s="65">
        <v>1265.8598449199999</v>
      </c>
      <c r="I1205" s="47">
        <f t="shared" si="92"/>
        <v>-1.5356123155353507E-2</v>
      </c>
      <c r="L1205" s="65">
        <v>502.16690274000001</v>
      </c>
      <c r="M1205" s="47">
        <f t="shared" si="93"/>
        <v>-1.4519768468485572E-2</v>
      </c>
      <c r="P1205" s="65">
        <v>496.1785797</v>
      </c>
      <c r="Q1205" s="47">
        <f t="shared" si="94"/>
        <v>4.9177037405687685E-3</v>
      </c>
    </row>
    <row r="1206" spans="1:17" ht="14.4" x14ac:dyDescent="0.3">
      <c r="A1206" s="63">
        <v>45972</v>
      </c>
      <c r="B1206" s="64">
        <v>23682.65</v>
      </c>
      <c r="C1206" s="47">
        <f t="shared" si="90"/>
        <v>3.633951917412892E-3</v>
      </c>
      <c r="D1206" s="65">
        <v>759.20705633</v>
      </c>
      <c r="E1206" s="47">
        <f t="shared" si="91"/>
        <v>6.3412945655492159E-2</v>
      </c>
      <c r="H1206" s="65">
        <v>1242.7450060599999</v>
      </c>
      <c r="I1206" s="47">
        <f t="shared" si="92"/>
        <v>-1.8260188086984264E-2</v>
      </c>
      <c r="L1206" s="65">
        <v>488.66913631</v>
      </c>
      <c r="M1206" s="47">
        <f t="shared" si="93"/>
        <v>-2.6879044310470168E-2</v>
      </c>
      <c r="P1206" s="65">
        <v>500.88615635999997</v>
      </c>
      <c r="Q1206" s="47">
        <f t="shared" si="94"/>
        <v>9.4876660392035905E-3</v>
      </c>
    </row>
    <row r="1207" spans="1:17" ht="14.4" x14ac:dyDescent="0.3">
      <c r="A1207" s="63">
        <v>45973</v>
      </c>
      <c r="B1207" s="64">
        <v>23836.9</v>
      </c>
      <c r="C1207" s="47">
        <f t="shared" si="90"/>
        <v>6.5132069257451963E-3</v>
      </c>
      <c r="D1207" s="65">
        <v>788.51568105000001</v>
      </c>
      <c r="E1207" s="47">
        <f t="shared" si="91"/>
        <v>3.8604257528476627E-2</v>
      </c>
      <c r="H1207" s="65">
        <v>1253.16156434</v>
      </c>
      <c r="I1207" s="47">
        <f t="shared" si="92"/>
        <v>8.381895102539838E-3</v>
      </c>
      <c r="L1207" s="65">
        <v>480.27052608999998</v>
      </c>
      <c r="M1207" s="47">
        <f t="shared" si="93"/>
        <v>-1.7186700767351404E-2</v>
      </c>
      <c r="P1207" s="65">
        <v>502.12499231999999</v>
      </c>
      <c r="Q1207" s="47">
        <f t="shared" si="94"/>
        <v>2.4732884793678966E-3</v>
      </c>
    </row>
    <row r="1208" spans="1:17" ht="14.4" x14ac:dyDescent="0.3">
      <c r="A1208" s="63">
        <v>45974</v>
      </c>
      <c r="B1208" s="64">
        <v>23816</v>
      </c>
      <c r="C1208" s="47">
        <f t="shared" si="90"/>
        <v>-8.7679186471401049E-4</v>
      </c>
      <c r="D1208" s="65">
        <v>775.56650790000003</v>
      </c>
      <c r="E1208" s="47">
        <f t="shared" si="91"/>
        <v>-1.6422213864861424E-2</v>
      </c>
      <c r="H1208" s="65">
        <v>1230.34434143</v>
      </c>
      <c r="I1208" s="47">
        <f t="shared" si="92"/>
        <v>-1.8207726409177893E-2</v>
      </c>
      <c r="L1208" s="65">
        <v>476.22119616999998</v>
      </c>
      <c r="M1208" s="47">
        <f t="shared" si="93"/>
        <v>-8.4313521234928857E-3</v>
      </c>
      <c r="P1208" s="65">
        <v>499.05267913</v>
      </c>
      <c r="Q1208" s="47">
        <f t="shared" si="94"/>
        <v>-6.1186223290834452E-3</v>
      </c>
    </row>
    <row r="1209" spans="1:17" ht="14.4" x14ac:dyDescent="0.3">
      <c r="A1209" s="63">
        <v>45975</v>
      </c>
      <c r="B1209" s="64">
        <v>23836.35</v>
      </c>
      <c r="C1209" s="47">
        <f t="shared" si="90"/>
        <v>8.5446758481677598E-4</v>
      </c>
      <c r="D1209" s="65">
        <v>782.43648908</v>
      </c>
      <c r="E1209" s="47">
        <f t="shared" si="91"/>
        <v>8.8580168303060702E-3</v>
      </c>
      <c r="H1209" s="65">
        <v>1243.24103264</v>
      </c>
      <c r="I1209" s="47">
        <f t="shared" si="92"/>
        <v>1.0482180293535093E-2</v>
      </c>
      <c r="L1209" s="65">
        <v>500.21722536999999</v>
      </c>
      <c r="M1209" s="47">
        <f t="shared" si="93"/>
        <v>5.0388410665017869E-2</v>
      </c>
      <c r="P1209" s="65">
        <v>502.47186639</v>
      </c>
      <c r="Q1209" s="47">
        <f t="shared" si="94"/>
        <v>6.8513553838858154E-3</v>
      </c>
    </row>
    <row r="1210" spans="1:17" ht="14.4" x14ac:dyDescent="0.3">
      <c r="A1210" s="63">
        <v>45978</v>
      </c>
      <c r="B1210" s="64">
        <v>23954.55</v>
      </c>
      <c r="C1210" s="47">
        <f t="shared" si="90"/>
        <v>4.9588129054993768E-3</v>
      </c>
      <c r="D1210" s="65">
        <v>776.06075114999999</v>
      </c>
      <c r="E1210" s="47">
        <f t="shared" si="91"/>
        <v>-8.1485692691769529E-3</v>
      </c>
      <c r="H1210" s="65">
        <v>1241.5545422600001</v>
      </c>
      <c r="I1210" s="47">
        <f t="shared" si="92"/>
        <v>-1.3565272829023645E-3</v>
      </c>
      <c r="L1210" s="65">
        <v>491.51866477999999</v>
      </c>
      <c r="M1210" s="47">
        <f t="shared" si="93"/>
        <v>-1.7389566270065715E-2</v>
      </c>
      <c r="P1210" s="65">
        <v>498.21027068000001</v>
      </c>
      <c r="Q1210" s="47">
        <f t="shared" si="94"/>
        <v>-8.4812623254260089E-3</v>
      </c>
    </row>
    <row r="1211" spans="1:17" ht="14.4" x14ac:dyDescent="0.3">
      <c r="A1211" s="63">
        <v>45979</v>
      </c>
      <c r="B1211" s="64">
        <v>23824.65</v>
      </c>
      <c r="C1211" s="47">
        <f t="shared" si="90"/>
        <v>-5.4227693694933743E-3</v>
      </c>
      <c r="D1211" s="65">
        <v>772.69989705</v>
      </c>
      <c r="E1211" s="47">
        <f t="shared" si="91"/>
        <v>-4.3306585148388255E-3</v>
      </c>
      <c r="H1211" s="65">
        <v>1204.05493243</v>
      </c>
      <c r="I1211" s="47">
        <f t="shared" si="92"/>
        <v>-3.0203755496508111E-2</v>
      </c>
      <c r="L1211" s="65">
        <v>500.26721708999997</v>
      </c>
      <c r="M1211" s="47">
        <f t="shared" si="93"/>
        <v>1.7799023591333452E-2</v>
      </c>
      <c r="P1211" s="65">
        <v>493.45314058000002</v>
      </c>
      <c r="Q1211" s="47">
        <f t="shared" si="94"/>
        <v>-9.5484384404742606E-3</v>
      </c>
    </row>
    <row r="1212" spans="1:17" ht="14.4" x14ac:dyDescent="0.3">
      <c r="A1212" s="63">
        <v>45980</v>
      </c>
      <c r="B1212" s="64">
        <v>23906.3</v>
      </c>
      <c r="C1212" s="47">
        <f t="shared" si="90"/>
        <v>3.4271227489175438E-3</v>
      </c>
      <c r="D1212" s="65">
        <v>702.17138527999998</v>
      </c>
      <c r="E1212" s="47">
        <f t="shared" si="91"/>
        <v>-9.127542534852473E-2</v>
      </c>
      <c r="H1212" s="65">
        <v>1223.6975852</v>
      </c>
      <c r="I1212" s="47">
        <f t="shared" si="92"/>
        <v>1.6313751342189597E-2</v>
      </c>
      <c r="L1212" s="65">
        <v>492.61848278000002</v>
      </c>
      <c r="M1212" s="47">
        <f t="shared" si="93"/>
        <v>-1.528929749682939E-2</v>
      </c>
      <c r="P1212" s="65">
        <v>489.14199143000002</v>
      </c>
      <c r="Q1212" s="47">
        <f t="shared" si="94"/>
        <v>-8.7366941163505851E-3</v>
      </c>
    </row>
    <row r="1213" spans="1:17" ht="14.4" x14ac:dyDescent="0.3">
      <c r="A1213" s="63">
        <v>45981</v>
      </c>
      <c r="B1213" s="64">
        <v>23975.45</v>
      </c>
      <c r="C1213" s="47">
        <f t="shared" si="90"/>
        <v>2.892542969844758E-3</v>
      </c>
      <c r="D1213" s="65">
        <v>692.63249055000006</v>
      </c>
      <c r="E1213" s="47">
        <f t="shared" si="91"/>
        <v>-1.3584852544505477E-2</v>
      </c>
      <c r="H1213" s="65">
        <v>1220.9198363200001</v>
      </c>
      <c r="I1213" s="47">
        <f t="shared" si="92"/>
        <v>-2.2699635217029446E-3</v>
      </c>
      <c r="L1213" s="65">
        <v>489.86893777</v>
      </c>
      <c r="M1213" s="47">
        <f t="shared" si="93"/>
        <v>-5.5814897453370094E-3</v>
      </c>
      <c r="P1213" s="65">
        <v>491.12412897000002</v>
      </c>
      <c r="Q1213" s="47">
        <f t="shared" si="94"/>
        <v>4.0522743390016824E-3</v>
      </c>
    </row>
    <row r="1214" spans="1:17" ht="14.4" x14ac:dyDescent="0.3">
      <c r="A1214" s="63">
        <v>45982</v>
      </c>
      <c r="B1214" s="64">
        <v>23790.25</v>
      </c>
      <c r="C1214" s="47">
        <f t="shared" si="90"/>
        <v>-7.7245682562788742E-3</v>
      </c>
      <c r="D1214" s="65">
        <v>691.14976079999997</v>
      </c>
      <c r="E1214" s="47">
        <f t="shared" si="91"/>
        <v>-2.1407164264308776E-3</v>
      </c>
      <c r="H1214" s="65">
        <v>1219.6301672</v>
      </c>
      <c r="I1214" s="47">
        <f t="shared" si="92"/>
        <v>-1.0563094165848552E-3</v>
      </c>
      <c r="L1214" s="65">
        <v>484.76978157000002</v>
      </c>
      <c r="M1214" s="47">
        <f t="shared" si="93"/>
        <v>-1.0409225421012747E-2</v>
      </c>
      <c r="P1214" s="65">
        <v>482.99736505999999</v>
      </c>
      <c r="Q1214" s="47">
        <f t="shared" si="94"/>
        <v>-1.6547270701286254E-2</v>
      </c>
    </row>
    <row r="1215" spans="1:17" ht="14.4" x14ac:dyDescent="0.3">
      <c r="A1215" s="63">
        <v>45985</v>
      </c>
      <c r="B1215" s="64">
        <v>23674.55</v>
      </c>
      <c r="C1215" s="47">
        <f t="shared" si="90"/>
        <v>-4.8633368711972214E-3</v>
      </c>
      <c r="D1215" s="65">
        <v>699.10707712999999</v>
      </c>
      <c r="E1215" s="47">
        <f t="shared" si="91"/>
        <v>1.1513157901971161E-2</v>
      </c>
      <c r="H1215" s="65">
        <v>1190.0669827300001</v>
      </c>
      <c r="I1215" s="47">
        <f t="shared" si="92"/>
        <v>-2.4239466409616939E-2</v>
      </c>
      <c r="L1215" s="65">
        <v>477.77093972</v>
      </c>
      <c r="M1215" s="47">
        <f t="shared" si="93"/>
        <v>-1.4437454882879064E-2</v>
      </c>
      <c r="P1215" s="65">
        <v>483.74066663999997</v>
      </c>
      <c r="Q1215" s="47">
        <f t="shared" si="94"/>
        <v>1.5389350621148878E-3</v>
      </c>
    </row>
    <row r="1216" spans="1:17" ht="14.4" x14ac:dyDescent="0.3">
      <c r="A1216" s="63">
        <v>45986</v>
      </c>
      <c r="B1216" s="64">
        <v>23655.05</v>
      </c>
      <c r="C1216" s="47">
        <f t="shared" si="90"/>
        <v>-8.2366929888844087E-4</v>
      </c>
      <c r="D1216" s="65">
        <v>691.69342838</v>
      </c>
      <c r="E1216" s="47">
        <f t="shared" si="91"/>
        <v>-1.0604453870549757E-2</v>
      </c>
      <c r="H1216" s="65">
        <v>1216.6540076900001</v>
      </c>
      <c r="I1216" s="47">
        <f t="shared" si="92"/>
        <v>2.2340780263485405E-2</v>
      </c>
      <c r="L1216" s="65">
        <v>466.77275967000003</v>
      </c>
      <c r="M1216" s="47">
        <f t="shared" si="93"/>
        <v>-2.3019776080239418E-2</v>
      </c>
      <c r="P1216" s="65">
        <v>484.43441478</v>
      </c>
      <c r="Q1216" s="47">
        <f t="shared" si="94"/>
        <v>1.4341323519866389E-3</v>
      </c>
    </row>
    <row r="1217" spans="1:17" ht="14.4" x14ac:dyDescent="0.3">
      <c r="A1217" s="63">
        <v>45987</v>
      </c>
      <c r="B1217" s="64">
        <v>23955.200000000001</v>
      </c>
      <c r="C1217" s="47">
        <f t="shared" si="90"/>
        <v>1.2688622514008596E-2</v>
      </c>
      <c r="D1217" s="65">
        <v>692.48421757999995</v>
      </c>
      <c r="E1217" s="47">
        <f t="shared" si="91"/>
        <v>1.1432654519387686E-3</v>
      </c>
      <c r="H1217" s="65">
        <v>1215.26513325</v>
      </c>
      <c r="I1217" s="47">
        <f t="shared" si="92"/>
        <v>-1.1415525130575865E-3</v>
      </c>
      <c r="L1217" s="65">
        <v>476.17120444</v>
      </c>
      <c r="M1217" s="47">
        <f t="shared" si="93"/>
        <v>2.0134946985005175E-2</v>
      </c>
      <c r="P1217" s="65">
        <v>483.93888039000001</v>
      </c>
      <c r="Q1217" s="47">
        <f t="shared" si="94"/>
        <v>-1.0229132672686658E-3</v>
      </c>
    </row>
    <row r="1218" spans="1:17" ht="14.4" x14ac:dyDescent="0.3">
      <c r="A1218" s="63">
        <v>45988</v>
      </c>
      <c r="B1218" s="64">
        <v>23947.75</v>
      </c>
      <c r="C1218" s="47">
        <f t="shared" si="90"/>
        <v>-3.1099719476357368E-4</v>
      </c>
      <c r="D1218" s="65">
        <v>688.87624185000004</v>
      </c>
      <c r="E1218" s="47">
        <f t="shared" si="91"/>
        <v>-5.2101919991889289E-3</v>
      </c>
      <c r="H1218" s="65">
        <v>1199.1938719</v>
      </c>
      <c r="I1218" s="47">
        <f t="shared" si="92"/>
        <v>-1.3224489792626914E-2</v>
      </c>
      <c r="L1218" s="65">
        <v>469.92223849999999</v>
      </c>
      <c r="M1218" s="47">
        <f t="shared" si="93"/>
        <v>-1.3123359585233807E-2</v>
      </c>
      <c r="P1218" s="65">
        <v>480.07371218999998</v>
      </c>
      <c r="Q1218" s="47">
        <f t="shared" si="94"/>
        <v>-7.9868932971145501E-3</v>
      </c>
    </row>
    <row r="1219" spans="1:17" ht="14.4" x14ac:dyDescent="0.3">
      <c r="A1219" s="63">
        <v>45989</v>
      </c>
      <c r="B1219" s="64">
        <v>23933.200000000001</v>
      </c>
      <c r="C1219" s="47">
        <f t="shared" si="90"/>
        <v>-6.0757273647837895E-4</v>
      </c>
      <c r="D1219" s="65">
        <v>677.85461738000004</v>
      </c>
      <c r="E1219" s="47">
        <f t="shared" si="91"/>
        <v>-1.5999426022301311E-2</v>
      </c>
      <c r="H1219" s="65">
        <v>1190.1661880500001</v>
      </c>
      <c r="I1219" s="47">
        <f t="shared" si="92"/>
        <v>-7.5281270706433201E-3</v>
      </c>
      <c r="L1219" s="65">
        <v>470.62212268000002</v>
      </c>
      <c r="M1219" s="47">
        <f t="shared" si="93"/>
        <v>1.4893616914877228E-3</v>
      </c>
      <c r="P1219" s="65">
        <v>477.05095244</v>
      </c>
      <c r="Q1219" s="47">
        <f t="shared" si="94"/>
        <v>-6.2964492186226018E-3</v>
      </c>
    </row>
    <row r="1220" spans="1:17" ht="14.4" x14ac:dyDescent="0.3">
      <c r="A1220" s="63">
        <v>45992</v>
      </c>
      <c r="B1220" s="64">
        <v>23922.45</v>
      </c>
      <c r="C1220" s="47">
        <f t="shared" ref="C1220:C1283" si="95">B1220/B1219-1</f>
        <v>-4.4916684772622339E-4</v>
      </c>
      <c r="D1220" s="65">
        <v>686.25675263000005</v>
      </c>
      <c r="E1220" s="47">
        <f t="shared" ref="E1220:E1283" si="96">D1220/D1219-1</f>
        <v>1.2395187750546599E-2</v>
      </c>
      <c r="H1220" s="65">
        <v>1171.8132043999999</v>
      </c>
      <c r="I1220" s="47">
        <f t="shared" ref="I1220:I1283" si="97">H1220/H1219-1</f>
        <v>-1.5420521801304266E-2</v>
      </c>
      <c r="L1220" s="65">
        <v>474.82142779999998</v>
      </c>
      <c r="M1220" s="47">
        <f t="shared" ref="M1220:M1283" si="98">L1220/L1219-1</f>
        <v>8.9228808371495383E-3</v>
      </c>
      <c r="P1220" s="65">
        <v>479.47907092999998</v>
      </c>
      <c r="Q1220" s="47">
        <f t="shared" ref="Q1220:Q1283" si="99">P1220/P1219-1</f>
        <v>5.0898514667683248E-3</v>
      </c>
    </row>
    <row r="1221" spans="1:17" ht="14.4" x14ac:dyDescent="0.3">
      <c r="A1221" s="63">
        <v>45993</v>
      </c>
      <c r="B1221" s="64">
        <v>23822.25</v>
      </c>
      <c r="C1221" s="47">
        <f t="shared" si="95"/>
        <v>-4.188534201137406E-3</v>
      </c>
      <c r="D1221" s="65">
        <v>704.14835828000002</v>
      </c>
      <c r="E1221" s="47">
        <f t="shared" si="96"/>
        <v>2.6071299963799976E-2</v>
      </c>
      <c r="H1221" s="65">
        <v>1180.0472457200001</v>
      </c>
      <c r="I1221" s="47">
        <f t="shared" si="97"/>
        <v>7.0267524628349065E-3</v>
      </c>
      <c r="L1221" s="65">
        <v>467.32266866999998</v>
      </c>
      <c r="M1221" s="47">
        <f t="shared" si="98"/>
        <v>-1.57927984942553E-2</v>
      </c>
      <c r="P1221" s="65">
        <v>479.28085716999999</v>
      </c>
      <c r="Q1221" s="47">
        <f t="shared" si="99"/>
        <v>-4.1339397695827618E-4</v>
      </c>
    </row>
    <row r="1222" spans="1:17" ht="14.4" x14ac:dyDescent="0.3">
      <c r="A1222" s="63">
        <v>45994</v>
      </c>
      <c r="B1222" s="64">
        <v>23716.3</v>
      </c>
      <c r="C1222" s="47">
        <f t="shared" si="95"/>
        <v>-4.4475227990639077E-3</v>
      </c>
      <c r="D1222" s="65">
        <v>712.05625027999997</v>
      </c>
      <c r="E1222" s="47">
        <f t="shared" si="96"/>
        <v>1.1230434477353946E-2</v>
      </c>
      <c r="H1222" s="65">
        <v>1176.3766489899999</v>
      </c>
      <c r="I1222" s="47">
        <f t="shared" si="97"/>
        <v>-3.1105506523686488E-3</v>
      </c>
      <c r="L1222" s="65">
        <v>458.97405018000001</v>
      </c>
      <c r="M1222" s="47">
        <f t="shared" si="98"/>
        <v>-1.7864783905647386E-2</v>
      </c>
      <c r="P1222" s="65">
        <v>478.88442966000002</v>
      </c>
      <c r="Q1222" s="47">
        <f t="shared" si="99"/>
        <v>-8.2712986356425766E-4</v>
      </c>
    </row>
    <row r="1223" spans="1:17" ht="14.4" x14ac:dyDescent="0.3">
      <c r="A1223" s="63">
        <v>45995</v>
      </c>
      <c r="B1223" s="64">
        <v>23741.1</v>
      </c>
      <c r="C1223" s="47">
        <f t="shared" si="95"/>
        <v>1.0456943115071393E-3</v>
      </c>
      <c r="D1223" s="65">
        <v>705.38396639999996</v>
      </c>
      <c r="E1223" s="47">
        <f t="shared" si="96"/>
        <v>-9.370444929563182E-3</v>
      </c>
      <c r="H1223" s="65">
        <v>1159.9085663599999</v>
      </c>
      <c r="I1223" s="47">
        <f t="shared" si="97"/>
        <v>-1.3998988031715065E-2</v>
      </c>
      <c r="L1223" s="65">
        <v>454.77474506999999</v>
      </c>
      <c r="M1223" s="47">
        <f t="shared" si="98"/>
        <v>-9.1493301382793435E-3</v>
      </c>
      <c r="P1223" s="65">
        <v>474.92015457999997</v>
      </c>
      <c r="Q1223" s="47">
        <f t="shared" si="99"/>
        <v>-8.2781456954335031E-3</v>
      </c>
    </row>
    <row r="1224" spans="1:17" ht="14.4" x14ac:dyDescent="0.3">
      <c r="A1224" s="63">
        <v>45996</v>
      </c>
      <c r="B1224" s="64">
        <v>23835.25</v>
      </c>
      <c r="C1224" s="47">
        <f t="shared" si="95"/>
        <v>3.9656966189436371E-3</v>
      </c>
      <c r="D1224" s="65">
        <v>695.79564734999997</v>
      </c>
      <c r="E1224" s="47">
        <f t="shared" si="96"/>
        <v>-1.3593049327354279E-2</v>
      </c>
      <c r="H1224" s="65">
        <v>1156.1387643200001</v>
      </c>
      <c r="I1224" s="47">
        <f t="shared" si="97"/>
        <v>-3.2500855234047776E-3</v>
      </c>
      <c r="L1224" s="65">
        <v>451.47529105000001</v>
      </c>
      <c r="M1224" s="47">
        <f t="shared" si="98"/>
        <v>-7.2551390677864092E-3</v>
      </c>
      <c r="P1224" s="65">
        <v>476.80318525000001</v>
      </c>
      <c r="Q1224" s="47">
        <f t="shared" si="99"/>
        <v>3.9649415840550262E-3</v>
      </c>
    </row>
    <row r="1225" spans="1:17" ht="14.4" x14ac:dyDescent="0.3">
      <c r="A1225" s="63">
        <v>45999</v>
      </c>
      <c r="B1225" s="64">
        <v>23526.2</v>
      </c>
      <c r="C1225" s="47">
        <f t="shared" si="95"/>
        <v>-1.2966090139604147E-2</v>
      </c>
      <c r="D1225" s="65">
        <v>673.70297407999999</v>
      </c>
      <c r="E1225" s="47">
        <f t="shared" si="96"/>
        <v>-3.175166926401729E-2</v>
      </c>
      <c r="H1225" s="65">
        <v>1145.22617945</v>
      </c>
      <c r="I1225" s="47">
        <f t="shared" si="97"/>
        <v>-9.4388192894980794E-3</v>
      </c>
      <c r="L1225" s="65">
        <v>438.17749154000001</v>
      </c>
      <c r="M1225" s="47">
        <f t="shared" si="98"/>
        <v>-2.9454102524798631E-2</v>
      </c>
      <c r="P1225" s="65">
        <v>476.10943710999999</v>
      </c>
      <c r="Q1225" s="47">
        <f t="shared" si="99"/>
        <v>-1.4549989628032112E-3</v>
      </c>
    </row>
    <row r="1226" spans="1:17" ht="14.4" x14ac:dyDescent="0.3">
      <c r="A1226" s="63">
        <v>46000</v>
      </c>
      <c r="B1226" s="64">
        <v>23516.25</v>
      </c>
      <c r="C1226" s="47">
        <f t="shared" si="95"/>
        <v>-4.2293273031768219E-4</v>
      </c>
      <c r="D1226" s="65">
        <v>676.47073627999998</v>
      </c>
      <c r="E1226" s="47">
        <f t="shared" si="96"/>
        <v>4.1082825911220588E-3</v>
      </c>
      <c r="H1226" s="65">
        <v>1163.5791630900001</v>
      </c>
      <c r="I1226" s="47">
        <f t="shared" si="97"/>
        <v>1.602564102124715E-2</v>
      </c>
      <c r="L1226" s="65">
        <v>438.22748326999999</v>
      </c>
      <c r="M1226" s="47">
        <f t="shared" si="98"/>
        <v>1.1409013690832914E-4</v>
      </c>
      <c r="P1226" s="65">
        <v>468.23044039000001</v>
      </c>
      <c r="Q1226" s="47">
        <f t="shared" si="99"/>
        <v>-1.6548709405605821E-2</v>
      </c>
    </row>
    <row r="1227" spans="1:17" ht="14.4" x14ac:dyDescent="0.3">
      <c r="A1227" s="63">
        <v>46001</v>
      </c>
      <c r="B1227" s="64">
        <v>23408.799999999999</v>
      </c>
      <c r="C1227" s="47">
        <f t="shared" si="95"/>
        <v>-4.5691808855579108E-3</v>
      </c>
      <c r="D1227" s="65">
        <v>673.90067137999995</v>
      </c>
      <c r="E1227" s="47">
        <f t="shared" si="96"/>
        <v>-3.799225542457485E-3</v>
      </c>
      <c r="H1227" s="65">
        <v>1159.61095041</v>
      </c>
      <c r="I1227" s="47">
        <f t="shared" si="97"/>
        <v>-3.4103504135138962E-3</v>
      </c>
      <c r="L1227" s="65">
        <v>436.12783071000001</v>
      </c>
      <c r="M1227" s="47">
        <f t="shared" si="98"/>
        <v>-4.7912388888360358E-3</v>
      </c>
      <c r="P1227" s="65">
        <v>470.11347104999999</v>
      </c>
      <c r="Q1227" s="47">
        <f t="shared" si="99"/>
        <v>4.0215895797623968E-3</v>
      </c>
    </row>
    <row r="1228" spans="1:17" ht="14.4" x14ac:dyDescent="0.3">
      <c r="A1228" s="63">
        <v>46002</v>
      </c>
      <c r="B1228" s="64">
        <v>23550.85</v>
      </c>
      <c r="C1228" s="47">
        <f t="shared" si="95"/>
        <v>6.0682307508286293E-3</v>
      </c>
      <c r="D1228" s="65">
        <v>676.07534167999995</v>
      </c>
      <c r="E1228" s="47">
        <f t="shared" si="96"/>
        <v>3.2269893655791915E-3</v>
      </c>
      <c r="H1228" s="65">
        <v>1159.61095041</v>
      </c>
      <c r="I1228" s="47">
        <f t="shared" si="97"/>
        <v>0</v>
      </c>
      <c r="L1228" s="65">
        <v>433.62824433999998</v>
      </c>
      <c r="M1228" s="47">
        <f t="shared" si="98"/>
        <v>-5.7313158986684876E-3</v>
      </c>
      <c r="P1228" s="65">
        <v>471.00543293999999</v>
      </c>
      <c r="Q1228" s="47">
        <f t="shared" si="99"/>
        <v>1.8973331864067244E-3</v>
      </c>
    </row>
    <row r="1229" spans="1:17" ht="14.4" x14ac:dyDescent="0.3">
      <c r="A1229" s="63">
        <v>46003</v>
      </c>
      <c r="B1229" s="64">
        <v>23726.2</v>
      </c>
      <c r="C1229" s="47">
        <f t="shared" si="95"/>
        <v>7.4455911357764748E-3</v>
      </c>
      <c r="D1229" s="65">
        <v>682.99474717999999</v>
      </c>
      <c r="E1229" s="47">
        <f t="shared" si="96"/>
        <v>1.0234666276699E-2</v>
      </c>
      <c r="H1229" s="65">
        <v>1163.3807524599999</v>
      </c>
      <c r="I1229" s="47">
        <f t="shared" si="97"/>
        <v>3.2509196715218014E-3</v>
      </c>
      <c r="L1229" s="65">
        <v>437.72756599000002</v>
      </c>
      <c r="M1229" s="47">
        <f t="shared" si="98"/>
        <v>9.4535393012495916E-3</v>
      </c>
      <c r="P1229" s="65">
        <v>472.14516202999999</v>
      </c>
      <c r="Q1229" s="47">
        <f t="shared" si="99"/>
        <v>2.4197790732176649E-3</v>
      </c>
    </row>
    <row r="1230" spans="1:17" ht="14.4" x14ac:dyDescent="0.3">
      <c r="A1230" s="63">
        <v>46006</v>
      </c>
      <c r="B1230" s="64">
        <v>23725.200000000001</v>
      </c>
      <c r="C1230" s="47">
        <f t="shared" si="95"/>
        <v>-4.2147499388911491E-5</v>
      </c>
      <c r="D1230" s="65">
        <v>696.78413384999999</v>
      </c>
      <c r="E1230" s="47">
        <f t="shared" si="96"/>
        <v>2.0189594029726754E-2</v>
      </c>
      <c r="H1230" s="65">
        <v>1167.0513491900001</v>
      </c>
      <c r="I1230" s="47">
        <f t="shared" si="97"/>
        <v>3.1551121352477729E-3</v>
      </c>
      <c r="L1230" s="65">
        <v>443.67658155999999</v>
      </c>
      <c r="M1230" s="47">
        <f t="shared" si="98"/>
        <v>1.3590680670396482E-2</v>
      </c>
      <c r="P1230" s="65">
        <v>472.88846360999997</v>
      </c>
      <c r="Q1230" s="47">
        <f t="shared" si="99"/>
        <v>1.5743073100742411E-3</v>
      </c>
    </row>
    <row r="1231" spans="1:17" ht="14.4" x14ac:dyDescent="0.3">
      <c r="A1231" s="63">
        <v>46007</v>
      </c>
      <c r="B1231" s="64">
        <v>23570.15</v>
      </c>
      <c r="C1231" s="47">
        <f t="shared" si="95"/>
        <v>-6.5352452244870074E-3</v>
      </c>
      <c r="D1231" s="65">
        <v>697.47607440000002</v>
      </c>
      <c r="E1231" s="47">
        <f t="shared" si="96"/>
        <v>9.930486593843213E-4</v>
      </c>
      <c r="H1231" s="65">
        <v>1148.49995491</v>
      </c>
      <c r="I1231" s="47">
        <f t="shared" si="97"/>
        <v>-1.5895953758055081E-2</v>
      </c>
      <c r="L1231" s="65">
        <v>438.37745845000001</v>
      </c>
      <c r="M1231" s="47">
        <f t="shared" si="98"/>
        <v>-1.1943661960628793E-2</v>
      </c>
      <c r="P1231" s="65">
        <v>473.73087206000002</v>
      </c>
      <c r="Q1231" s="47">
        <f t="shared" si="99"/>
        <v>1.781410448394416E-3</v>
      </c>
    </row>
    <row r="1232" spans="1:17" ht="14.4" x14ac:dyDescent="0.3">
      <c r="A1232" s="63">
        <v>46008</v>
      </c>
      <c r="B1232" s="64">
        <v>23496.05</v>
      </c>
      <c r="C1232" s="47">
        <f t="shared" si="95"/>
        <v>-3.1438068913436368E-3</v>
      </c>
      <c r="D1232" s="65">
        <v>696.33931493</v>
      </c>
      <c r="E1232" s="47">
        <f t="shared" si="96"/>
        <v>-1.6298185869356718E-3</v>
      </c>
      <c r="H1232" s="65">
        <v>1151.6745250500001</v>
      </c>
      <c r="I1232" s="47">
        <f t="shared" si="97"/>
        <v>2.7641012317225488E-3</v>
      </c>
      <c r="L1232" s="65">
        <v>434.72806234000001</v>
      </c>
      <c r="M1232" s="47">
        <f t="shared" si="98"/>
        <v>-8.3247804823345373E-3</v>
      </c>
      <c r="P1232" s="65">
        <v>474.72194082999999</v>
      </c>
      <c r="Q1232" s="47">
        <f t="shared" si="99"/>
        <v>2.0920502092049986E-3</v>
      </c>
    </row>
    <row r="1233" spans="1:17" ht="14.4" x14ac:dyDescent="0.3">
      <c r="A1233" s="63">
        <v>46009</v>
      </c>
      <c r="B1233" s="64">
        <v>23491.5</v>
      </c>
      <c r="C1233" s="47">
        <f t="shared" si="95"/>
        <v>-1.9364957088530144E-4</v>
      </c>
      <c r="D1233" s="65">
        <v>692.23709595000003</v>
      </c>
      <c r="E1233" s="47">
        <f t="shared" si="96"/>
        <v>-5.8911207396243892E-3</v>
      </c>
      <c r="H1233" s="65">
        <v>1111.2979610299999</v>
      </c>
      <c r="I1233" s="47">
        <f t="shared" si="97"/>
        <v>-3.5059005944624189E-2</v>
      </c>
      <c r="L1233" s="65">
        <v>418.78070127000001</v>
      </c>
      <c r="M1233" s="47">
        <f t="shared" si="98"/>
        <v>-3.6683532652942885E-2</v>
      </c>
      <c r="P1233" s="65">
        <v>474.72194082999999</v>
      </c>
      <c r="Q1233" s="47">
        <f t="shared" si="99"/>
        <v>0</v>
      </c>
    </row>
    <row r="1234" spans="1:17" ht="14.4" x14ac:dyDescent="0.3">
      <c r="A1234" s="63">
        <v>46010</v>
      </c>
      <c r="B1234" s="64">
        <v>23677.55</v>
      </c>
      <c r="C1234" s="47">
        <f t="shared" si="95"/>
        <v>7.9198859161824231E-3</v>
      </c>
      <c r="D1234" s="65">
        <v>702.81390150000004</v>
      </c>
      <c r="E1234" s="47">
        <f t="shared" si="96"/>
        <v>1.5279166071683559E-2</v>
      </c>
      <c r="H1234" s="65">
        <v>1142.0516093000001</v>
      </c>
      <c r="I1234" s="47">
        <f t="shared" si="97"/>
        <v>2.7673629709080272E-2</v>
      </c>
      <c r="L1234" s="65">
        <v>422.98000638000002</v>
      </c>
      <c r="M1234" s="47">
        <f t="shared" si="98"/>
        <v>1.0027456129819701E-2</v>
      </c>
      <c r="P1234" s="65">
        <v>475.41568897000002</v>
      </c>
      <c r="Q1234" s="47">
        <f t="shared" si="99"/>
        <v>1.4613778726701998E-3</v>
      </c>
    </row>
    <row r="1235" spans="1:17" ht="14.4" x14ac:dyDescent="0.3">
      <c r="A1235" s="63">
        <v>46013</v>
      </c>
      <c r="B1235" s="64">
        <v>23867.65</v>
      </c>
      <c r="C1235" s="47">
        <f t="shared" si="95"/>
        <v>8.0287022939451447E-3</v>
      </c>
      <c r="D1235" s="65">
        <v>736.42244249999999</v>
      </c>
      <c r="E1235" s="47">
        <f t="shared" si="96"/>
        <v>4.7819971870604716E-2</v>
      </c>
      <c r="H1235" s="65">
        <v>1157.23002281</v>
      </c>
      <c r="I1235" s="47">
        <f t="shared" si="97"/>
        <v>1.3290479507579667E-2</v>
      </c>
      <c r="L1235" s="65">
        <v>426.07949348</v>
      </c>
      <c r="M1235" s="47">
        <f t="shared" si="98"/>
        <v>7.3277390260744202E-3</v>
      </c>
      <c r="P1235" s="65">
        <v>480.86656720000002</v>
      </c>
      <c r="Q1235" s="47">
        <f t="shared" si="99"/>
        <v>1.1465499259836198E-2</v>
      </c>
    </row>
    <row r="1236" spans="1:17" ht="14.4" x14ac:dyDescent="0.3">
      <c r="A1236" s="63">
        <v>46014</v>
      </c>
      <c r="B1236" s="64">
        <v>23895.15</v>
      </c>
      <c r="C1236" s="47">
        <f t="shared" si="95"/>
        <v>1.1521871654729399E-3</v>
      </c>
      <c r="D1236" s="65">
        <v>734.59374247999995</v>
      </c>
      <c r="E1236" s="47">
        <f t="shared" si="96"/>
        <v>-2.4832214697205757E-3</v>
      </c>
      <c r="H1236" s="65">
        <v>1163.5791630900001</v>
      </c>
      <c r="I1236" s="47">
        <f t="shared" si="97"/>
        <v>5.4864980642161942E-3</v>
      </c>
      <c r="L1236" s="65">
        <v>424.42976648000001</v>
      </c>
      <c r="M1236" s="47">
        <f t="shared" si="98"/>
        <v>-3.8718760823851506E-3</v>
      </c>
      <c r="P1236" s="65">
        <v>480.66835344999998</v>
      </c>
      <c r="Q1236" s="47">
        <f t="shared" si="99"/>
        <v>-4.1220114584838985E-4</v>
      </c>
    </row>
    <row r="1237" spans="1:17" ht="14.4" x14ac:dyDescent="0.3">
      <c r="A1237" s="63">
        <v>46015</v>
      </c>
      <c r="B1237" s="64">
        <v>23850.25</v>
      </c>
      <c r="C1237" s="47">
        <f t="shared" si="95"/>
        <v>-1.8790423998176209E-3</v>
      </c>
      <c r="D1237" s="65">
        <v>732.86389110000005</v>
      </c>
      <c r="E1237" s="47">
        <f t="shared" si="96"/>
        <v>-2.3548408868280246E-3</v>
      </c>
      <c r="H1237" s="65">
        <v>1190.7614199499999</v>
      </c>
      <c r="I1237" s="47">
        <f t="shared" si="97"/>
        <v>2.3360900334288059E-2</v>
      </c>
      <c r="L1237" s="65">
        <v>422.73004773999997</v>
      </c>
      <c r="M1237" s="47">
        <f t="shared" si="98"/>
        <v>-4.0047114369395898E-3</v>
      </c>
      <c r="P1237" s="65">
        <v>481.01522752</v>
      </c>
      <c r="Q1237" s="47">
        <f t="shared" si="99"/>
        <v>7.2164948557640329E-4</v>
      </c>
    </row>
    <row r="1238" spans="1:17" ht="14.4" x14ac:dyDescent="0.3">
      <c r="A1238" s="63">
        <v>46017</v>
      </c>
      <c r="B1238" s="64">
        <v>23780.25</v>
      </c>
      <c r="C1238" s="47">
        <f t="shared" si="95"/>
        <v>-2.9349797171936975E-3</v>
      </c>
      <c r="D1238" s="65">
        <v>723.62154233000001</v>
      </c>
      <c r="E1238" s="47">
        <f t="shared" si="96"/>
        <v>-1.2611275957569168E-2</v>
      </c>
      <c r="H1238" s="65">
        <v>1186.5947966399999</v>
      </c>
      <c r="I1238" s="47">
        <f t="shared" si="97"/>
        <v>-3.4991252153390162E-3</v>
      </c>
      <c r="L1238" s="65">
        <v>422.78003947000002</v>
      </c>
      <c r="M1238" s="47">
        <f t="shared" si="98"/>
        <v>1.1825923013364381E-4</v>
      </c>
      <c r="P1238" s="65">
        <v>478.19068153000001</v>
      </c>
      <c r="Q1238" s="47">
        <f t="shared" si="99"/>
        <v>-5.8720510877851018E-3</v>
      </c>
    </row>
    <row r="1239" spans="1:17" ht="14.4" x14ac:dyDescent="0.3">
      <c r="A1239" s="63">
        <v>46020</v>
      </c>
      <c r="B1239" s="64">
        <v>23682.1</v>
      </c>
      <c r="C1239" s="47">
        <f t="shared" si="95"/>
        <v>-4.1273746070794592E-3</v>
      </c>
      <c r="D1239" s="65">
        <v>726.73527479999996</v>
      </c>
      <c r="E1239" s="47">
        <f t="shared" si="96"/>
        <v>4.3029847618605288E-3</v>
      </c>
      <c r="H1239" s="65">
        <v>1185.30512752</v>
      </c>
      <c r="I1239" s="47">
        <f t="shared" si="97"/>
        <v>-1.0868656458394854E-3</v>
      </c>
      <c r="L1239" s="65">
        <v>416.93100735000002</v>
      </c>
      <c r="M1239" s="47">
        <f t="shared" si="98"/>
        <v>-1.3834693159431977E-2</v>
      </c>
      <c r="P1239" s="65">
        <v>479.37996405000001</v>
      </c>
      <c r="Q1239" s="47">
        <f t="shared" si="99"/>
        <v>2.4870466237334465E-3</v>
      </c>
    </row>
    <row r="1240" spans="1:17" ht="14.4" x14ac:dyDescent="0.3">
      <c r="A1240" s="63">
        <v>46021</v>
      </c>
      <c r="B1240" s="64">
        <v>23668.799999999999</v>
      </c>
      <c r="C1240" s="47">
        <f t="shared" si="95"/>
        <v>-5.6160560085460887E-4</v>
      </c>
      <c r="D1240" s="65">
        <v>724.31348288000004</v>
      </c>
      <c r="E1240" s="47">
        <f t="shared" si="96"/>
        <v>-3.3324265437182365E-3</v>
      </c>
      <c r="H1240" s="65">
        <v>1153.5594260800001</v>
      </c>
      <c r="I1240" s="47">
        <f t="shared" si="97"/>
        <v>-2.678272514219282E-2</v>
      </c>
      <c r="L1240" s="65">
        <v>410.73203314</v>
      </c>
      <c r="M1240" s="47">
        <f t="shared" si="98"/>
        <v>-1.4868105515587593E-2</v>
      </c>
      <c r="P1240" s="65">
        <v>469.22150915999998</v>
      </c>
      <c r="Q1240" s="47">
        <f t="shared" si="99"/>
        <v>-2.1190820751408102E-2</v>
      </c>
    </row>
    <row r="1241" spans="1:17" ht="14.4" x14ac:dyDescent="0.3">
      <c r="A1241" s="63">
        <v>46022</v>
      </c>
      <c r="B1241" s="64">
        <v>23871.55</v>
      </c>
      <c r="C1241" s="47">
        <f t="shared" si="95"/>
        <v>8.5661292503211861E-3</v>
      </c>
      <c r="D1241" s="65">
        <v>729.40418835000003</v>
      </c>
      <c r="E1241" s="47">
        <f t="shared" si="96"/>
        <v>7.0283179732599788E-3</v>
      </c>
      <c r="H1241" s="65">
        <v>1192.8447316100001</v>
      </c>
      <c r="I1241" s="47">
        <f t="shared" si="97"/>
        <v>3.4055727552327664E-2</v>
      </c>
      <c r="L1241" s="65">
        <v>434.97802098</v>
      </c>
      <c r="M1241" s="47">
        <f t="shared" si="98"/>
        <v>5.9031158720789678E-2</v>
      </c>
      <c r="P1241" s="65">
        <v>472.98757047999999</v>
      </c>
      <c r="Q1241" s="47">
        <f t="shared" si="99"/>
        <v>8.0261907147904932E-3</v>
      </c>
    </row>
    <row r="1242" spans="1:17" ht="14.4" x14ac:dyDescent="0.3">
      <c r="A1242" s="63">
        <v>46023</v>
      </c>
      <c r="B1242" s="64">
        <v>23909.55</v>
      </c>
      <c r="C1242" s="47">
        <f t="shared" si="95"/>
        <v>1.5918530635841144E-3</v>
      </c>
      <c r="D1242" s="65">
        <v>729.79958294999994</v>
      </c>
      <c r="E1242" s="47">
        <f t="shared" si="96"/>
        <v>5.4207887247592623E-4</v>
      </c>
      <c r="H1242" s="65">
        <v>1192.64632097</v>
      </c>
      <c r="I1242" s="47">
        <f t="shared" si="97"/>
        <v>-1.6633400369903129E-4</v>
      </c>
      <c r="L1242" s="65">
        <v>430.47876550000001</v>
      </c>
      <c r="M1242" s="47">
        <f t="shared" si="98"/>
        <v>-1.0343638673658062E-2</v>
      </c>
      <c r="P1242" s="65">
        <v>470.46034512</v>
      </c>
      <c r="Q1242" s="47">
        <f t="shared" si="99"/>
        <v>-5.3431115693701736E-3</v>
      </c>
    </row>
    <row r="1243" spans="1:17" ht="14.4" x14ac:dyDescent="0.3">
      <c r="A1243" s="63">
        <v>46024</v>
      </c>
      <c r="B1243" s="64">
        <v>24099</v>
      </c>
      <c r="C1243" s="47">
        <f t="shared" si="95"/>
        <v>7.9236121131514015E-3</v>
      </c>
      <c r="D1243" s="65">
        <v>738.25114253000004</v>
      </c>
      <c r="E1243" s="47">
        <f t="shared" si="96"/>
        <v>1.1580658275847755E-2</v>
      </c>
      <c r="H1243" s="65">
        <v>1187.28923386</v>
      </c>
      <c r="I1243" s="47">
        <f t="shared" si="97"/>
        <v>-4.4917650906288742E-3</v>
      </c>
      <c r="L1243" s="65">
        <v>452.77507596999999</v>
      </c>
      <c r="M1243" s="47">
        <f t="shared" si="98"/>
        <v>5.1794216711485985E-2</v>
      </c>
      <c r="P1243" s="65">
        <v>475.06881490000001</v>
      </c>
      <c r="Q1243" s="47">
        <f t="shared" si="99"/>
        <v>9.7956604160218674E-3</v>
      </c>
    </row>
    <row r="1244" spans="1:17" ht="14.4" x14ac:dyDescent="0.3">
      <c r="A1244" s="63">
        <v>46027</v>
      </c>
      <c r="B1244" s="64">
        <v>24058.45</v>
      </c>
      <c r="C1244" s="47">
        <f t="shared" si="95"/>
        <v>-1.6826424332959666E-3</v>
      </c>
      <c r="D1244" s="65">
        <v>744.08321288000002</v>
      </c>
      <c r="E1244" s="47">
        <f t="shared" si="96"/>
        <v>7.8998460198969056E-3</v>
      </c>
      <c r="H1244" s="65">
        <v>1189.9677774199999</v>
      </c>
      <c r="I1244" s="47">
        <f t="shared" si="97"/>
        <v>2.2560160436153609E-3</v>
      </c>
      <c r="L1244" s="65">
        <v>434.92802925000001</v>
      </c>
      <c r="M1244" s="47">
        <f t="shared" si="98"/>
        <v>-3.941702551043802E-2</v>
      </c>
      <c r="P1244" s="65">
        <v>472.93801703999998</v>
      </c>
      <c r="Q1244" s="47">
        <f t="shared" si="99"/>
        <v>-4.4852404392162759E-3</v>
      </c>
    </row>
    <row r="1245" spans="1:17" ht="14.4" x14ac:dyDescent="0.3">
      <c r="A1245" s="63">
        <v>46028</v>
      </c>
      <c r="B1245" s="64">
        <v>24010.5</v>
      </c>
      <c r="C1245" s="47">
        <f t="shared" si="95"/>
        <v>-1.9930627284800995E-3</v>
      </c>
      <c r="D1245" s="65">
        <v>719.4204747</v>
      </c>
      <c r="E1245" s="47">
        <f t="shared" si="96"/>
        <v>-3.3145134513305363E-2</v>
      </c>
      <c r="H1245" s="65">
        <v>1185.0075115699999</v>
      </c>
      <c r="I1245" s="47">
        <f t="shared" si="97"/>
        <v>-4.1684035014414311E-3</v>
      </c>
      <c r="L1245" s="65">
        <v>431.07866623000001</v>
      </c>
      <c r="M1245" s="47">
        <f t="shared" si="98"/>
        <v>-8.8505747183917904E-3</v>
      </c>
      <c r="P1245" s="65">
        <v>467.48713880999998</v>
      </c>
      <c r="Q1245" s="47">
        <f t="shared" si="99"/>
        <v>-1.1525565790028169E-2</v>
      </c>
    </row>
    <row r="1246" spans="1:17" ht="14.4" x14ac:dyDescent="0.3">
      <c r="A1246" s="63">
        <v>46029</v>
      </c>
      <c r="B1246" s="64">
        <v>24016.6</v>
      </c>
      <c r="C1246" s="47">
        <f t="shared" si="95"/>
        <v>2.5405551737778254E-4</v>
      </c>
      <c r="D1246" s="65">
        <v>708.79424483000003</v>
      </c>
      <c r="E1246" s="47">
        <f t="shared" si="96"/>
        <v>-1.4770541350565769E-2</v>
      </c>
      <c r="H1246" s="65">
        <v>1164.3728056299999</v>
      </c>
      <c r="I1246" s="47">
        <f t="shared" si="97"/>
        <v>-1.7413143578019485E-2</v>
      </c>
      <c r="L1246" s="65">
        <v>431.97851732999999</v>
      </c>
      <c r="M1246" s="47">
        <f t="shared" si="98"/>
        <v>2.0874405775392901E-3</v>
      </c>
      <c r="P1246" s="65">
        <v>471.00543293999999</v>
      </c>
      <c r="Q1246" s="47">
        <f t="shared" si="99"/>
        <v>7.5259698886174231E-3</v>
      </c>
    </row>
    <row r="1247" spans="1:17" ht="14.4" x14ac:dyDescent="0.3">
      <c r="A1247" s="63">
        <v>46030</v>
      </c>
      <c r="B1247" s="64">
        <v>23680.1</v>
      </c>
      <c r="C1247" s="47">
        <f t="shared" si="95"/>
        <v>-1.4011142293247181E-2</v>
      </c>
      <c r="D1247" s="65">
        <v>676.91555519999997</v>
      </c>
      <c r="E1247" s="47">
        <f t="shared" si="96"/>
        <v>-4.4975943106939309E-2</v>
      </c>
      <c r="H1247" s="65">
        <v>1127.5676330199999</v>
      </c>
      <c r="I1247" s="47">
        <f t="shared" si="97"/>
        <v>-3.1609440234295128E-2</v>
      </c>
      <c r="L1247" s="65">
        <v>417.48091634999997</v>
      </c>
      <c r="M1247" s="47">
        <f t="shared" si="98"/>
        <v>-3.3560930459245242E-2</v>
      </c>
      <c r="P1247" s="65">
        <v>464.81125313000001</v>
      </c>
      <c r="Q1247" s="47">
        <f t="shared" si="99"/>
        <v>-1.3150973166776714E-2</v>
      </c>
    </row>
    <row r="1248" spans="1:17" ht="14.4" x14ac:dyDescent="0.3">
      <c r="A1248" s="63">
        <v>46031</v>
      </c>
      <c r="B1248" s="64">
        <v>23467.35</v>
      </c>
      <c r="C1248" s="47">
        <f t="shared" si="95"/>
        <v>-8.9843370593873928E-3</v>
      </c>
      <c r="D1248" s="65">
        <v>682.00626067999997</v>
      </c>
      <c r="E1248" s="47">
        <f t="shared" si="96"/>
        <v>7.5204439326201911E-3</v>
      </c>
      <c r="H1248" s="65">
        <v>1106.73451645</v>
      </c>
      <c r="I1248" s="47">
        <f t="shared" si="97"/>
        <v>-1.8476156959385093E-2</v>
      </c>
      <c r="L1248" s="65">
        <v>408.68237231000001</v>
      </c>
      <c r="M1248" s="47">
        <f t="shared" si="98"/>
        <v>-2.1075320321045754E-2</v>
      </c>
      <c r="P1248" s="65">
        <v>457.22957703999998</v>
      </c>
      <c r="Q1248" s="47">
        <f t="shared" si="99"/>
        <v>-1.6311300638583215E-2</v>
      </c>
    </row>
    <row r="1249" spans="1:17" ht="14.4" x14ac:dyDescent="0.3">
      <c r="A1249" s="63">
        <v>46034</v>
      </c>
      <c r="B1249" s="64">
        <v>23510.45</v>
      </c>
      <c r="C1249" s="47">
        <f t="shared" si="95"/>
        <v>1.8365942469005248E-3</v>
      </c>
      <c r="D1249" s="65">
        <v>684.13150665000001</v>
      </c>
      <c r="E1249" s="47">
        <f t="shared" si="96"/>
        <v>3.116167830895078E-3</v>
      </c>
      <c r="H1249" s="65">
        <v>1111.8931929400001</v>
      </c>
      <c r="I1249" s="47">
        <f t="shared" si="97"/>
        <v>4.6611688831637021E-3</v>
      </c>
      <c r="L1249" s="65">
        <v>400.43373728</v>
      </c>
      <c r="M1249" s="47">
        <f t="shared" si="98"/>
        <v>-2.018348622030397E-2</v>
      </c>
      <c r="P1249" s="65">
        <v>442.56175924000001</v>
      </c>
      <c r="Q1249" s="47">
        <f t="shared" si="99"/>
        <v>-3.2079765913124114E-2</v>
      </c>
    </row>
    <row r="1250" spans="1:17" ht="14.4" x14ac:dyDescent="0.3">
      <c r="A1250" s="63">
        <v>46035</v>
      </c>
      <c r="B1250" s="64">
        <v>23480.65</v>
      </c>
      <c r="C1250" s="47">
        <f t="shared" si="95"/>
        <v>-1.2675214638596666E-3</v>
      </c>
      <c r="D1250" s="65">
        <v>678.05231467999999</v>
      </c>
      <c r="E1250" s="47">
        <f t="shared" si="96"/>
        <v>-8.8859991257647097E-3</v>
      </c>
      <c r="H1250" s="65">
        <v>1118.73835981</v>
      </c>
      <c r="I1250" s="47">
        <f t="shared" si="97"/>
        <v>6.1563169137679452E-3</v>
      </c>
      <c r="L1250" s="65">
        <v>398.58404336000001</v>
      </c>
      <c r="M1250" s="47">
        <f t="shared" si="98"/>
        <v>-4.6192259737261043E-3</v>
      </c>
      <c r="P1250" s="65">
        <v>432.25464404000002</v>
      </c>
      <c r="Q1250" s="47">
        <f t="shared" si="99"/>
        <v>-2.3289665193170217E-2</v>
      </c>
    </row>
    <row r="1251" spans="1:17" ht="14.4" x14ac:dyDescent="0.3">
      <c r="A1251" s="63">
        <v>46036</v>
      </c>
      <c r="B1251" s="64">
        <v>23475.85</v>
      </c>
      <c r="C1251" s="47">
        <f t="shared" si="95"/>
        <v>-2.0442364244610545E-4</v>
      </c>
      <c r="D1251" s="65">
        <v>691.19918513000005</v>
      </c>
      <c r="E1251" s="47">
        <f t="shared" si="96"/>
        <v>1.9389168306584992E-2</v>
      </c>
      <c r="H1251" s="65">
        <v>1127.7660436599999</v>
      </c>
      <c r="I1251" s="47">
        <f t="shared" si="97"/>
        <v>8.0695220386768352E-3</v>
      </c>
      <c r="L1251" s="65">
        <v>394.93464725000001</v>
      </c>
      <c r="M1251" s="47">
        <f t="shared" si="98"/>
        <v>-9.155901172651526E-3</v>
      </c>
      <c r="P1251" s="65">
        <v>431.66000277000001</v>
      </c>
      <c r="Q1251" s="47">
        <f t="shared" si="99"/>
        <v>-1.3756735253143137E-3</v>
      </c>
    </row>
    <row r="1252" spans="1:17" ht="14.4" x14ac:dyDescent="0.3">
      <c r="A1252" s="63">
        <v>46038</v>
      </c>
      <c r="B1252" s="64">
        <v>23485.3</v>
      </c>
      <c r="C1252" s="47">
        <f t="shared" si="95"/>
        <v>4.0254133503148104E-4</v>
      </c>
      <c r="D1252" s="65">
        <v>673.50527678000003</v>
      </c>
      <c r="E1252" s="47">
        <f t="shared" si="96"/>
        <v>-2.5598855916868835E-2</v>
      </c>
      <c r="H1252" s="65">
        <v>1139.9682976500001</v>
      </c>
      <c r="I1252" s="47">
        <f t="shared" si="97"/>
        <v>1.0819845178526188E-2</v>
      </c>
      <c r="L1252" s="65">
        <v>381.33689736999997</v>
      </c>
      <c r="M1252" s="47">
        <f t="shared" si="98"/>
        <v>-3.4430379746835493E-2</v>
      </c>
      <c r="P1252" s="65">
        <v>430.37161336999998</v>
      </c>
      <c r="Q1252" s="47">
        <f t="shared" si="99"/>
        <v>-2.9847319458191635E-3</v>
      </c>
    </row>
    <row r="1253" spans="1:17" ht="14.4" x14ac:dyDescent="0.3">
      <c r="A1253" s="63">
        <v>46041</v>
      </c>
      <c r="B1253" s="64">
        <v>23373.75</v>
      </c>
      <c r="C1253" s="47">
        <f t="shared" si="95"/>
        <v>-4.7497796493977118E-3</v>
      </c>
      <c r="D1253" s="65">
        <v>681.80856338000001</v>
      </c>
      <c r="E1253" s="47">
        <f t="shared" si="96"/>
        <v>1.2328465546250333E-2</v>
      </c>
      <c r="H1253" s="65">
        <v>1109.2146493800001</v>
      </c>
      <c r="I1253" s="47">
        <f t="shared" si="97"/>
        <v>-2.6977634670540818E-2</v>
      </c>
      <c r="L1253" s="65">
        <v>370.83863459999998</v>
      </c>
      <c r="M1253" s="47">
        <f t="shared" si="98"/>
        <v>-2.7530152058204416E-2</v>
      </c>
      <c r="P1253" s="65">
        <v>418.52834157000001</v>
      </c>
      <c r="Q1253" s="47">
        <f t="shared" si="99"/>
        <v>-2.7518710416939207E-2</v>
      </c>
    </row>
    <row r="1254" spans="1:17" ht="14.4" x14ac:dyDescent="0.3">
      <c r="A1254" s="63">
        <v>46042</v>
      </c>
      <c r="B1254" s="64">
        <v>22946.65</v>
      </c>
      <c r="C1254" s="47">
        <f t="shared" si="95"/>
        <v>-1.8272634900261986E-2</v>
      </c>
      <c r="D1254" s="65">
        <v>652.84590892999995</v>
      </c>
      <c r="E1254" s="47">
        <f t="shared" si="96"/>
        <v>-4.2479159115310194E-2</v>
      </c>
      <c r="H1254" s="65">
        <v>1092.0521295399999</v>
      </c>
      <c r="I1254" s="47">
        <f t="shared" si="97"/>
        <v>-1.5472676861591483E-2</v>
      </c>
      <c r="L1254" s="65">
        <v>353.54149688000001</v>
      </c>
      <c r="M1254" s="47">
        <f t="shared" si="98"/>
        <v>-4.6643300093738294E-2</v>
      </c>
      <c r="P1254" s="65">
        <v>406.43730257999999</v>
      </c>
      <c r="Q1254" s="47">
        <f t="shared" si="99"/>
        <v>-2.8889415098255045E-2</v>
      </c>
    </row>
    <row r="1255" spans="1:17" ht="14.4" x14ac:dyDescent="0.3">
      <c r="A1255" s="63">
        <v>46043</v>
      </c>
      <c r="B1255" s="64">
        <v>22835.15</v>
      </c>
      <c r="C1255" s="47">
        <f t="shared" si="95"/>
        <v>-4.8590970795301391E-3</v>
      </c>
      <c r="D1255" s="65">
        <v>644.04837908000002</v>
      </c>
      <c r="E1255" s="47">
        <f t="shared" si="96"/>
        <v>-1.3475660534380762E-2</v>
      </c>
      <c r="H1255" s="65">
        <v>1065.86192585</v>
      </c>
      <c r="I1255" s="47">
        <f t="shared" si="97"/>
        <v>-2.3982558141278365E-2</v>
      </c>
      <c r="L1255" s="65">
        <v>340.79360637000002</v>
      </c>
      <c r="M1255" s="47">
        <f t="shared" si="98"/>
        <v>-3.6057692300620947E-2</v>
      </c>
      <c r="P1255" s="65">
        <v>390.03511443000002</v>
      </c>
      <c r="Q1255" s="47">
        <f t="shared" si="99"/>
        <v>-4.035601074478512E-2</v>
      </c>
    </row>
    <row r="1256" spans="1:17" ht="14.4" x14ac:dyDescent="0.3">
      <c r="A1256" s="63">
        <v>46044</v>
      </c>
      <c r="B1256" s="64">
        <v>23008.75</v>
      </c>
      <c r="C1256" s="47">
        <f t="shared" si="95"/>
        <v>7.6023148523218786E-3</v>
      </c>
      <c r="D1256" s="65">
        <v>649.83102510000003</v>
      </c>
      <c r="E1256" s="47">
        <f t="shared" si="96"/>
        <v>8.9785895094718349E-3</v>
      </c>
      <c r="H1256" s="65">
        <v>1096.02034222</v>
      </c>
      <c r="I1256" s="47">
        <f t="shared" si="97"/>
        <v>2.8294862250520136E-2</v>
      </c>
      <c r="L1256" s="65">
        <v>355.44118252999999</v>
      </c>
      <c r="M1256" s="47">
        <f t="shared" si="98"/>
        <v>4.2980783342798645E-2</v>
      </c>
      <c r="P1256" s="65">
        <v>389.68824036000001</v>
      </c>
      <c r="Q1256" s="47">
        <f t="shared" si="99"/>
        <v>-8.893406187464592E-4</v>
      </c>
    </row>
    <row r="1257" spans="1:17" ht="14.4" x14ac:dyDescent="0.3">
      <c r="A1257" s="63">
        <v>46045</v>
      </c>
      <c r="B1257" s="64">
        <v>22706.2</v>
      </c>
      <c r="C1257" s="47">
        <f t="shared" si="95"/>
        <v>-1.3149345357744258E-2</v>
      </c>
      <c r="D1257" s="65">
        <v>627.63950318000002</v>
      </c>
      <c r="E1257" s="47">
        <f t="shared" si="96"/>
        <v>-3.414968055208667E-2</v>
      </c>
      <c r="H1257" s="65">
        <v>1098.9965017300001</v>
      </c>
      <c r="I1257" s="47">
        <f t="shared" si="97"/>
        <v>2.7154236060726866E-3</v>
      </c>
      <c r="L1257" s="65">
        <v>336.8442599</v>
      </c>
      <c r="M1257" s="47">
        <f t="shared" si="98"/>
        <v>-5.2320675104749248E-2</v>
      </c>
      <c r="P1257" s="65">
        <v>389.04404565999999</v>
      </c>
      <c r="Q1257" s="47">
        <f t="shared" si="99"/>
        <v>-1.6531027454277369E-3</v>
      </c>
    </row>
    <row r="1258" spans="1:17" ht="14.4" x14ac:dyDescent="0.3">
      <c r="A1258" s="63">
        <v>46049</v>
      </c>
      <c r="B1258" s="64">
        <v>22819.25</v>
      </c>
      <c r="C1258" s="47">
        <f t="shared" si="95"/>
        <v>4.9788163585275935E-3</v>
      </c>
      <c r="D1258" s="65">
        <v>619.28679224999996</v>
      </c>
      <c r="E1258" s="47">
        <f t="shared" si="96"/>
        <v>-1.3308134506639813E-2</v>
      </c>
      <c r="H1258" s="65">
        <v>1085.4053733000001</v>
      </c>
      <c r="I1258" s="47">
        <f t="shared" si="97"/>
        <v>-1.236685322346831E-2</v>
      </c>
      <c r="L1258" s="65">
        <v>341.04356501000001</v>
      </c>
      <c r="M1258" s="47">
        <f t="shared" si="98"/>
        <v>1.2466607301685029E-2</v>
      </c>
      <c r="P1258" s="65">
        <v>383.14718648000002</v>
      </c>
      <c r="Q1258" s="47">
        <f t="shared" si="99"/>
        <v>-1.5157304798216753E-2</v>
      </c>
    </row>
    <row r="1259" spans="1:17" ht="14.4" x14ac:dyDescent="0.3">
      <c r="A1259" s="63">
        <v>46050</v>
      </c>
      <c r="B1259" s="64">
        <v>23082.1</v>
      </c>
      <c r="C1259" s="47">
        <f t="shared" si="95"/>
        <v>1.1518783483243311E-2</v>
      </c>
      <c r="D1259" s="65">
        <v>655.51482248000002</v>
      </c>
      <c r="E1259" s="47">
        <f t="shared" si="96"/>
        <v>5.8499600965775445E-2</v>
      </c>
      <c r="H1259" s="65">
        <v>1108.1233908900001</v>
      </c>
      <c r="I1259" s="47">
        <f t="shared" si="97"/>
        <v>2.0930445111884355E-2</v>
      </c>
      <c r="L1259" s="65">
        <v>362.63999129000001</v>
      </c>
      <c r="M1259" s="47">
        <f t="shared" si="98"/>
        <v>6.3324538257646834E-2</v>
      </c>
      <c r="P1259" s="65">
        <v>394.14804982999999</v>
      </c>
      <c r="Q1259" s="47">
        <f t="shared" si="99"/>
        <v>2.8711846878129776E-2</v>
      </c>
    </row>
    <row r="1260" spans="1:17" ht="14.4" x14ac:dyDescent="0.3">
      <c r="A1260" s="63">
        <v>46051</v>
      </c>
      <c r="B1260" s="64">
        <v>23134.799999999999</v>
      </c>
      <c r="C1260" s="47">
        <f t="shared" si="95"/>
        <v>2.2831544790118397E-3</v>
      </c>
      <c r="D1260" s="65">
        <v>637.27724654999997</v>
      </c>
      <c r="E1260" s="47">
        <f t="shared" si="96"/>
        <v>-2.7821759790270018E-2</v>
      </c>
      <c r="H1260" s="65">
        <v>1097.0123953899999</v>
      </c>
      <c r="I1260" s="47">
        <f t="shared" si="97"/>
        <v>-1.0026857650822008E-2</v>
      </c>
      <c r="L1260" s="65">
        <v>365.18956938999997</v>
      </c>
      <c r="M1260" s="47">
        <f t="shared" si="98"/>
        <v>7.0306037978065117E-3</v>
      </c>
      <c r="P1260" s="65">
        <v>384.48512932</v>
      </c>
      <c r="Q1260" s="47">
        <f t="shared" si="99"/>
        <v>-2.4515966815433221E-2</v>
      </c>
    </row>
    <row r="1261" spans="1:17" ht="14.4" x14ac:dyDescent="0.3">
      <c r="A1261" s="63">
        <v>46052</v>
      </c>
      <c r="B1261" s="64">
        <v>23079.5</v>
      </c>
      <c r="C1261" s="47">
        <f t="shared" si="95"/>
        <v>-2.3903383647145837E-3</v>
      </c>
      <c r="D1261" s="65">
        <v>659.46876847999999</v>
      </c>
      <c r="E1261" s="47">
        <f t="shared" si="96"/>
        <v>3.482239802242626E-2</v>
      </c>
      <c r="H1261" s="65">
        <v>1134.90882648</v>
      </c>
      <c r="I1261" s="47">
        <f t="shared" si="97"/>
        <v>3.4545125697077905E-2</v>
      </c>
      <c r="L1261" s="65">
        <v>361.64015674000001</v>
      </c>
      <c r="M1261" s="47">
        <f t="shared" si="98"/>
        <v>-9.719370287406548E-3</v>
      </c>
      <c r="P1261" s="65">
        <v>410.84755860000001</v>
      </c>
      <c r="Q1261" s="47">
        <f t="shared" si="99"/>
        <v>6.8565536791044712E-2</v>
      </c>
    </row>
    <row r="1262" spans="1:17" ht="14.4" x14ac:dyDescent="0.3">
      <c r="A1262" s="63">
        <v>46054</v>
      </c>
      <c r="B1262" s="64">
        <v>22611.3</v>
      </c>
      <c r="C1262" s="47">
        <f t="shared" si="95"/>
        <v>-2.0286401351849115E-2</v>
      </c>
      <c r="D1262" s="65">
        <v>633.17502758000001</v>
      </c>
      <c r="E1262" s="47">
        <f t="shared" si="96"/>
        <v>-3.9871093456941176E-2</v>
      </c>
      <c r="H1262" s="65">
        <v>1156.0395590000001</v>
      </c>
      <c r="I1262" s="47">
        <f t="shared" si="97"/>
        <v>1.8618881117999919E-2</v>
      </c>
      <c r="L1262" s="65">
        <v>361.69014845999999</v>
      </c>
      <c r="M1262" s="47">
        <f t="shared" si="98"/>
        <v>1.3823608653029673E-4</v>
      </c>
      <c r="P1262" s="65">
        <v>400.54044340000002</v>
      </c>
      <c r="Q1262" s="47">
        <f t="shared" si="99"/>
        <v>-2.5087444197362196E-2</v>
      </c>
    </row>
    <row r="1263" spans="1:17" ht="14.4" x14ac:dyDescent="0.3">
      <c r="A1263" s="63">
        <v>46055</v>
      </c>
      <c r="B1263" s="64">
        <v>22837</v>
      </c>
      <c r="C1263" s="47">
        <f t="shared" si="95"/>
        <v>9.9817347963186975E-3</v>
      </c>
      <c r="D1263" s="65">
        <v>608.80883534999998</v>
      </c>
      <c r="E1263" s="47">
        <f t="shared" si="96"/>
        <v>-3.8482554062701735E-2</v>
      </c>
      <c r="H1263" s="65">
        <v>1118.3415385400001</v>
      </c>
      <c r="I1263" s="47">
        <f t="shared" si="97"/>
        <v>-3.2609628421893744E-2</v>
      </c>
      <c r="L1263" s="65">
        <v>356.94093435000002</v>
      </c>
      <c r="M1263" s="47">
        <f t="shared" si="98"/>
        <v>-1.3130615058831729E-2</v>
      </c>
      <c r="P1263" s="65">
        <v>393.30564136999999</v>
      </c>
      <c r="Q1263" s="47">
        <f t="shared" si="99"/>
        <v>-1.8062600541875806E-2</v>
      </c>
    </row>
    <row r="1264" spans="1:17" ht="14.4" x14ac:dyDescent="0.3">
      <c r="A1264" s="63">
        <v>46056</v>
      </c>
      <c r="B1264" s="64">
        <v>23446.3</v>
      </c>
      <c r="C1264" s="47">
        <f t="shared" si="95"/>
        <v>2.668038709112408E-2</v>
      </c>
      <c r="D1264" s="65">
        <v>608.41344074999995</v>
      </c>
      <c r="E1264" s="47">
        <f t="shared" si="96"/>
        <v>-6.4945608053257331E-4</v>
      </c>
      <c r="H1264" s="65">
        <v>1118.3415385400001</v>
      </c>
      <c r="I1264" s="47">
        <f t="shared" si="97"/>
        <v>0</v>
      </c>
      <c r="L1264" s="65">
        <v>383.03661611000001</v>
      </c>
      <c r="M1264" s="47">
        <f t="shared" si="98"/>
        <v>7.310924371148686E-2</v>
      </c>
      <c r="P1264" s="65">
        <v>412.97835645999999</v>
      </c>
      <c r="Q1264" s="47">
        <f t="shared" si="99"/>
        <v>5.0018898842828952E-2</v>
      </c>
    </row>
    <row r="1265" spans="1:17" ht="14.4" x14ac:dyDescent="0.3">
      <c r="A1265" s="63">
        <v>46057</v>
      </c>
      <c r="B1265" s="64">
        <v>23534.95</v>
      </c>
      <c r="C1265" s="47">
        <f t="shared" si="95"/>
        <v>3.7809803679045295E-3</v>
      </c>
      <c r="D1265" s="65">
        <v>624.08095177999996</v>
      </c>
      <c r="E1265" s="47">
        <f t="shared" si="96"/>
        <v>2.5751421616666548E-2</v>
      </c>
      <c r="H1265" s="65">
        <v>1116.55584284</v>
      </c>
      <c r="I1265" s="47">
        <f t="shared" si="97"/>
        <v>-1.59673555748574E-3</v>
      </c>
      <c r="L1265" s="65">
        <v>401.78351392000002</v>
      </c>
      <c r="M1265" s="47">
        <f t="shared" si="98"/>
        <v>4.894283476182415E-2</v>
      </c>
      <c r="P1265" s="65">
        <v>411.59086017999999</v>
      </c>
      <c r="Q1265" s="47">
        <f t="shared" si="99"/>
        <v>-3.3597312263370371E-3</v>
      </c>
    </row>
    <row r="1266" spans="1:17" ht="14.4" x14ac:dyDescent="0.3">
      <c r="A1266" s="63">
        <v>46058</v>
      </c>
      <c r="B1266" s="64">
        <v>23411.7</v>
      </c>
      <c r="C1266" s="47">
        <f t="shared" si="95"/>
        <v>-5.2368923664591893E-3</v>
      </c>
      <c r="D1266" s="65">
        <v>603.12503798</v>
      </c>
      <c r="E1266" s="47">
        <f t="shared" si="96"/>
        <v>-3.35788389955336E-2</v>
      </c>
      <c r="H1266" s="65">
        <v>1098.7980910900001</v>
      </c>
      <c r="I1266" s="47">
        <f t="shared" si="97"/>
        <v>-1.59040426539101E-2</v>
      </c>
      <c r="L1266" s="65">
        <v>389.03562341000003</v>
      </c>
      <c r="M1266" s="47">
        <f t="shared" si="98"/>
        <v>-3.1728256805823696E-2</v>
      </c>
      <c r="P1266" s="65">
        <v>410.99621891999999</v>
      </c>
      <c r="Q1266" s="47">
        <f t="shared" si="99"/>
        <v>-1.4447387382215959E-3</v>
      </c>
    </row>
    <row r="1267" spans="1:17" ht="14.4" x14ac:dyDescent="0.3">
      <c r="A1267" s="63">
        <v>46059</v>
      </c>
      <c r="B1267" s="64">
        <v>23434</v>
      </c>
      <c r="C1267" s="47">
        <f t="shared" si="95"/>
        <v>9.5251519539374385E-4</v>
      </c>
      <c r="D1267" s="65">
        <v>608.41344074999995</v>
      </c>
      <c r="E1267" s="47">
        <f t="shared" si="96"/>
        <v>8.7683356468037932E-3</v>
      </c>
      <c r="H1267" s="65">
        <v>1082.6276244200001</v>
      </c>
      <c r="I1267" s="47">
        <f t="shared" si="97"/>
        <v>-1.4716504152240573E-2</v>
      </c>
      <c r="L1267" s="65">
        <v>386.63602048000001</v>
      </c>
      <c r="M1267" s="47">
        <f t="shared" si="98"/>
        <v>-6.1680802106677257E-3</v>
      </c>
      <c r="P1267" s="65">
        <v>409.01408137999999</v>
      </c>
      <c r="Q1267" s="47">
        <f t="shared" si="99"/>
        <v>-4.8227634434413469E-3</v>
      </c>
    </row>
    <row r="1268" spans="1:17" ht="14.4" x14ac:dyDescent="0.3">
      <c r="A1268" s="63">
        <v>46062</v>
      </c>
      <c r="B1268" s="64">
        <v>23683.4</v>
      </c>
      <c r="C1268" s="47">
        <f t="shared" si="95"/>
        <v>1.064265596995817E-2</v>
      </c>
      <c r="D1268" s="65">
        <v>621.5603112</v>
      </c>
      <c r="E1268" s="47">
        <f t="shared" si="96"/>
        <v>2.1608448415922021E-2</v>
      </c>
      <c r="H1268" s="65">
        <v>1112.9844514199999</v>
      </c>
      <c r="I1268" s="47">
        <f t="shared" si="97"/>
        <v>2.8039952348586139E-2</v>
      </c>
      <c r="L1268" s="65">
        <v>407.13262875999999</v>
      </c>
      <c r="M1268" s="47">
        <f t="shared" si="98"/>
        <v>5.3012671335055384E-2</v>
      </c>
      <c r="P1268" s="65">
        <v>404.95069941999998</v>
      </c>
      <c r="Q1268" s="47">
        <f t="shared" si="99"/>
        <v>-9.9345771820136264E-3</v>
      </c>
    </row>
    <row r="1269" spans="1:17" ht="14.4" x14ac:dyDescent="0.3">
      <c r="A1269" s="63">
        <v>46063</v>
      </c>
      <c r="B1269" s="64">
        <v>23753.75</v>
      </c>
      <c r="C1269" s="47">
        <f t="shared" si="95"/>
        <v>2.9704349882195835E-3</v>
      </c>
      <c r="D1269" s="65">
        <v>614.83860300000003</v>
      </c>
      <c r="E1269" s="47">
        <f t="shared" si="96"/>
        <v>-1.0814249363867656E-2</v>
      </c>
      <c r="H1269" s="65">
        <v>1129.05571278</v>
      </c>
      <c r="I1269" s="47">
        <f t="shared" si="97"/>
        <v>1.4439789648000634E-2</v>
      </c>
      <c r="L1269" s="65">
        <v>400.78367937000002</v>
      </c>
      <c r="M1269" s="47">
        <f t="shared" si="98"/>
        <v>-1.5594302547886962E-2</v>
      </c>
      <c r="P1269" s="65">
        <v>396.37795455999998</v>
      </c>
      <c r="Q1269" s="47">
        <f t="shared" si="99"/>
        <v>-2.1169848261229141E-2</v>
      </c>
    </row>
    <row r="1270" spans="1:17" ht="14.4" x14ac:dyDescent="0.3">
      <c r="A1270" s="63">
        <v>46064</v>
      </c>
      <c r="B1270" s="64">
        <v>23783.05</v>
      </c>
      <c r="C1270" s="47">
        <f t="shared" si="95"/>
        <v>1.2334894490342307E-3</v>
      </c>
      <c r="D1270" s="65">
        <v>614.4432084</v>
      </c>
      <c r="E1270" s="47">
        <f t="shared" si="96"/>
        <v>-6.4308681672031742E-4</v>
      </c>
      <c r="H1270" s="65">
        <v>1127.5676330199999</v>
      </c>
      <c r="I1270" s="47">
        <f t="shared" si="97"/>
        <v>-1.3179861216380262E-3</v>
      </c>
      <c r="L1270" s="65">
        <v>387.58586330999998</v>
      </c>
      <c r="M1270" s="47">
        <f t="shared" si="98"/>
        <v>-3.2930023699432986E-2</v>
      </c>
      <c r="P1270" s="65">
        <v>386.26905311000002</v>
      </c>
      <c r="Q1270" s="47">
        <f t="shared" si="99"/>
        <v>-2.5503187888492374E-2</v>
      </c>
    </row>
    <row r="1271" spans="1:17" ht="14.4" x14ac:dyDescent="0.3">
      <c r="A1271" s="63">
        <v>46065</v>
      </c>
      <c r="B1271" s="64">
        <v>23651.55</v>
      </c>
      <c r="C1271" s="47">
        <f t="shared" si="95"/>
        <v>-5.5291478595049792E-3</v>
      </c>
      <c r="D1271" s="65">
        <v>605.29970828</v>
      </c>
      <c r="E1271" s="47">
        <f t="shared" si="96"/>
        <v>-1.4880952372814948E-2</v>
      </c>
      <c r="H1271" s="65">
        <v>1093.14338802</v>
      </c>
      <c r="I1271" s="47">
        <f t="shared" si="97"/>
        <v>-3.0529649833775707E-2</v>
      </c>
      <c r="L1271" s="65">
        <v>381.08693872999999</v>
      </c>
      <c r="M1271" s="47">
        <f t="shared" si="98"/>
        <v>-1.6767702837505172E-2</v>
      </c>
      <c r="P1271" s="65">
        <v>380.96683518999998</v>
      </c>
      <c r="Q1271" s="47">
        <f t="shared" si="99"/>
        <v>-1.3726747916536053E-2</v>
      </c>
    </row>
    <row r="1272" spans="1:17" ht="14.4" x14ac:dyDescent="0.3">
      <c r="A1272" s="63">
        <v>46066</v>
      </c>
      <c r="B1272" s="64">
        <v>23313.15</v>
      </c>
      <c r="C1272" s="47">
        <f t="shared" si="95"/>
        <v>-1.4307730360166526E-2</v>
      </c>
      <c r="D1272" s="65">
        <v>595.01944867999998</v>
      </c>
      <c r="E1272" s="47">
        <f t="shared" si="96"/>
        <v>-1.6983751122583657E-2</v>
      </c>
      <c r="H1272" s="65">
        <v>1088.1831221699999</v>
      </c>
      <c r="I1272" s="47">
        <f t="shared" si="97"/>
        <v>-4.537616843646175E-3</v>
      </c>
      <c r="L1272" s="65">
        <v>373.73815479000001</v>
      </c>
      <c r="M1272" s="47">
        <f t="shared" si="98"/>
        <v>-1.928374655004006E-2</v>
      </c>
      <c r="P1272" s="65">
        <v>373.48426597000002</v>
      </c>
      <c r="Q1272" s="47">
        <f t="shared" si="99"/>
        <v>-1.9640998976375945E-2</v>
      </c>
    </row>
    <row r="1273" spans="1:17" ht="14.4" x14ac:dyDescent="0.3">
      <c r="A1273" s="63">
        <v>46069</v>
      </c>
      <c r="B1273" s="64">
        <v>23472.45</v>
      </c>
      <c r="C1273" s="47">
        <f t="shared" si="95"/>
        <v>6.8330534483755923E-3</v>
      </c>
      <c r="D1273" s="65">
        <v>594.22865948000003</v>
      </c>
      <c r="E1273" s="47">
        <f t="shared" si="96"/>
        <v>-1.3290140376994719E-3</v>
      </c>
      <c r="H1273" s="65">
        <v>1091.45689763</v>
      </c>
      <c r="I1273" s="47">
        <f t="shared" si="97"/>
        <v>3.0084784383273E-3</v>
      </c>
      <c r="L1273" s="65">
        <v>369.38887449999999</v>
      </c>
      <c r="M1273" s="47">
        <f t="shared" si="98"/>
        <v>-1.16372391586399E-2</v>
      </c>
      <c r="P1273" s="65">
        <v>375.76372414999997</v>
      </c>
      <c r="Q1273" s="47">
        <f t="shared" si="99"/>
        <v>6.103224118638062E-3</v>
      </c>
    </row>
    <row r="1274" spans="1:17" ht="14.4" x14ac:dyDescent="0.3">
      <c r="A1274" s="63">
        <v>46070</v>
      </c>
      <c r="B1274" s="64">
        <v>23540.05</v>
      </c>
      <c r="C1274" s="47">
        <f t="shared" si="95"/>
        <v>2.8799720523422501E-3</v>
      </c>
      <c r="D1274" s="65">
        <v>599.91245685000001</v>
      </c>
      <c r="E1274" s="47">
        <f t="shared" si="96"/>
        <v>9.5650004073748462E-3</v>
      </c>
      <c r="H1274" s="65">
        <v>1112.5876301599999</v>
      </c>
      <c r="I1274" s="47">
        <f t="shared" si="97"/>
        <v>1.9360116350799927E-2</v>
      </c>
      <c r="L1274" s="65">
        <v>380.03711246</v>
      </c>
      <c r="M1274" s="47">
        <f t="shared" si="98"/>
        <v>2.8826634192524958E-2</v>
      </c>
      <c r="P1274" s="65">
        <v>381.01638862999999</v>
      </c>
      <c r="Q1274" s="47">
        <f t="shared" si="99"/>
        <v>1.3978636420750368E-2</v>
      </c>
    </row>
    <row r="1275" spans="1:17" ht="14.4" x14ac:dyDescent="0.3">
      <c r="A1275" s="63">
        <v>46071</v>
      </c>
      <c r="B1275" s="64">
        <v>23645.8</v>
      </c>
      <c r="C1275" s="47">
        <f t="shared" si="95"/>
        <v>4.4923438990147613E-3</v>
      </c>
      <c r="D1275" s="65">
        <v>595.8596622</v>
      </c>
      <c r="E1275" s="47">
        <f t="shared" si="96"/>
        <v>-6.7556434338441607E-3</v>
      </c>
      <c r="H1275" s="65">
        <v>1111.8931929400001</v>
      </c>
      <c r="I1275" s="47">
        <f t="shared" si="97"/>
        <v>-6.2416406687892945E-4</v>
      </c>
      <c r="L1275" s="65">
        <v>386.08611148</v>
      </c>
      <c r="M1275" s="47">
        <f t="shared" si="98"/>
        <v>1.5916863963217898E-2</v>
      </c>
      <c r="P1275" s="65">
        <v>380.47130079999999</v>
      </c>
      <c r="Q1275" s="47">
        <f t="shared" si="99"/>
        <v>-1.4306151815672852E-3</v>
      </c>
    </row>
    <row r="1276" spans="1:17" ht="14.4" x14ac:dyDescent="0.3">
      <c r="A1276" s="63">
        <v>46072</v>
      </c>
      <c r="B1276" s="64">
        <v>23297.45</v>
      </c>
      <c r="C1276" s="47">
        <f t="shared" si="95"/>
        <v>-1.4732003146436079E-2</v>
      </c>
      <c r="D1276" s="65">
        <v>579.40136198000005</v>
      </c>
      <c r="E1276" s="47">
        <f t="shared" si="96"/>
        <v>-2.7621101517819713E-2</v>
      </c>
      <c r="H1276" s="65">
        <v>1097.60762729</v>
      </c>
      <c r="I1276" s="47">
        <f t="shared" si="97"/>
        <v>-1.2847965740510614E-2</v>
      </c>
      <c r="L1276" s="65">
        <v>376.73765844000002</v>
      </c>
      <c r="M1276" s="47">
        <f t="shared" si="98"/>
        <v>-2.4213388573249062E-2</v>
      </c>
      <c r="P1276" s="65">
        <v>379.62889235</v>
      </c>
      <c r="Q1276" s="47">
        <f t="shared" si="99"/>
        <v>-2.2141182481535404E-3</v>
      </c>
    </row>
    <row r="1277" spans="1:17" ht="14.4" x14ac:dyDescent="0.3">
      <c r="A1277" s="63">
        <v>46073</v>
      </c>
      <c r="B1277" s="64">
        <v>23395</v>
      </c>
      <c r="C1277" s="47">
        <f t="shared" si="95"/>
        <v>4.1871535296780227E-3</v>
      </c>
      <c r="D1277" s="65">
        <v>577.57266195</v>
      </c>
      <c r="E1277" s="47">
        <f t="shared" si="96"/>
        <v>-3.1561886975045583E-3</v>
      </c>
      <c r="H1277" s="65">
        <v>1126.5755798499999</v>
      </c>
      <c r="I1277" s="47">
        <f t="shared" si="97"/>
        <v>2.6391901659359007E-2</v>
      </c>
      <c r="L1277" s="65">
        <v>380.53702972999997</v>
      </c>
      <c r="M1277" s="47">
        <f t="shared" si="98"/>
        <v>1.0084925690021063E-2</v>
      </c>
      <c r="P1277" s="65">
        <v>381.11549550000001</v>
      </c>
      <c r="Q1277" s="47">
        <f t="shared" si="99"/>
        <v>3.9159378539330714E-3</v>
      </c>
    </row>
    <row r="1278" spans="1:17" ht="14.4" x14ac:dyDescent="0.3">
      <c r="A1278" s="63">
        <v>46076</v>
      </c>
      <c r="B1278" s="64">
        <v>23484.95</v>
      </c>
      <c r="C1278" s="47">
        <f t="shared" si="95"/>
        <v>3.8448386407352597E-3</v>
      </c>
      <c r="D1278" s="65">
        <v>575.94165923000003</v>
      </c>
      <c r="E1278" s="47">
        <f t="shared" si="96"/>
        <v>-2.8238918277284641E-3</v>
      </c>
      <c r="H1278" s="65">
        <v>1177.56711279</v>
      </c>
      <c r="I1278" s="47">
        <f t="shared" si="97"/>
        <v>4.5262416345638767E-2</v>
      </c>
      <c r="L1278" s="65">
        <v>376.78765017000001</v>
      </c>
      <c r="M1278" s="47">
        <f t="shared" si="98"/>
        <v>-9.8528638925369227E-3</v>
      </c>
      <c r="P1278" s="65">
        <v>376.65568603999998</v>
      </c>
      <c r="Q1278" s="47">
        <f t="shared" si="99"/>
        <v>-1.1701989325175632E-2</v>
      </c>
    </row>
    <row r="1279" spans="1:17" ht="14.4" x14ac:dyDescent="0.3">
      <c r="A1279" s="63">
        <v>46077</v>
      </c>
      <c r="B1279" s="64">
        <v>23304.6</v>
      </c>
      <c r="C1279" s="47">
        <f t="shared" si="95"/>
        <v>-7.6793861600727986E-3</v>
      </c>
      <c r="D1279" s="65">
        <v>583.89897555000005</v>
      </c>
      <c r="E1279" s="47">
        <f t="shared" si="96"/>
        <v>1.3816184664673381E-2</v>
      </c>
      <c r="H1279" s="65">
        <v>1195.8208911199999</v>
      </c>
      <c r="I1279" s="47">
        <f t="shared" si="97"/>
        <v>1.5501263691673151E-2</v>
      </c>
      <c r="L1279" s="65">
        <v>370.88862632000001</v>
      </c>
      <c r="M1279" s="47">
        <f t="shared" si="98"/>
        <v>-1.5656096603321457E-2</v>
      </c>
      <c r="P1279" s="65">
        <v>366.69544489999998</v>
      </c>
      <c r="Q1279" s="47">
        <f t="shared" si="99"/>
        <v>-2.6443888965855811E-2</v>
      </c>
    </row>
    <row r="1280" spans="1:17" ht="14.4" x14ac:dyDescent="0.3">
      <c r="A1280" s="63">
        <v>46078</v>
      </c>
      <c r="B1280" s="64">
        <v>23403.8</v>
      </c>
      <c r="C1280" s="47">
        <f t="shared" si="95"/>
        <v>4.2566703569253406E-3</v>
      </c>
      <c r="D1280" s="65">
        <v>584.68976474999999</v>
      </c>
      <c r="E1280" s="47">
        <f t="shared" si="96"/>
        <v>1.3543253766716834E-3</v>
      </c>
      <c r="H1280" s="65">
        <v>1204.2533430599999</v>
      </c>
      <c r="I1280" s="47">
        <f t="shared" si="97"/>
        <v>7.0516011240631116E-3</v>
      </c>
      <c r="L1280" s="65">
        <v>366.08942048</v>
      </c>
      <c r="M1280" s="47">
        <f t="shared" si="98"/>
        <v>-1.293974929244468E-2</v>
      </c>
      <c r="P1280" s="65">
        <v>365.30794861999999</v>
      </c>
      <c r="Q1280" s="47">
        <f t="shared" si="99"/>
        <v>-3.7837837892379378E-3</v>
      </c>
    </row>
    <row r="1281" spans="1:17" ht="14.4" x14ac:dyDescent="0.3">
      <c r="A1281" s="63">
        <v>46079</v>
      </c>
      <c r="B1281" s="64">
        <v>23448.5</v>
      </c>
      <c r="C1281" s="47">
        <f t="shared" si="95"/>
        <v>1.9099462480451912E-3</v>
      </c>
      <c r="D1281" s="65">
        <v>588.34716479999997</v>
      </c>
      <c r="E1281" s="47">
        <f t="shared" si="96"/>
        <v>6.2552831783599938E-3</v>
      </c>
      <c r="H1281" s="65">
        <v>1186.89241259</v>
      </c>
      <c r="I1281" s="47">
        <f t="shared" si="97"/>
        <v>-1.4416344011041637E-2</v>
      </c>
      <c r="L1281" s="65">
        <v>368.78897376999998</v>
      </c>
      <c r="M1281" s="47">
        <f t="shared" si="98"/>
        <v>7.3740270518072304E-3</v>
      </c>
      <c r="P1281" s="65">
        <v>369.27222369999998</v>
      </c>
      <c r="Q1281" s="47">
        <f t="shared" si="99"/>
        <v>1.0851871947970437E-2</v>
      </c>
    </row>
    <row r="1282" spans="1:17" ht="14.4" x14ac:dyDescent="0.3">
      <c r="A1282" s="63">
        <v>46080</v>
      </c>
      <c r="B1282" s="64">
        <v>23166.85</v>
      </c>
      <c r="C1282" s="47">
        <f t="shared" si="95"/>
        <v>-1.2011429302514087E-2</v>
      </c>
      <c r="D1282" s="65">
        <v>578.56114845000002</v>
      </c>
      <c r="E1282" s="47">
        <f t="shared" si="96"/>
        <v>-1.6633064516129004E-2</v>
      </c>
      <c r="H1282" s="65">
        <v>1230.2451361200001</v>
      </c>
      <c r="I1282" s="47">
        <f t="shared" si="97"/>
        <v>3.6526245403656343E-2</v>
      </c>
      <c r="L1282" s="65">
        <v>366.28938739</v>
      </c>
      <c r="M1282" s="47">
        <f t="shared" si="98"/>
        <v>-6.7778229767760934E-3</v>
      </c>
      <c r="P1282" s="65">
        <v>361.54188729999998</v>
      </c>
      <c r="Q1282" s="47">
        <f t="shared" si="99"/>
        <v>-2.0933977439581808E-2</v>
      </c>
    </row>
    <row r="1283" spans="1:17" ht="14.4" x14ac:dyDescent="0.3">
      <c r="A1283" s="63">
        <v>46083</v>
      </c>
      <c r="B1283" s="64">
        <v>22835.95</v>
      </c>
      <c r="C1283" s="47">
        <f t="shared" si="95"/>
        <v>-1.4283340203782413E-2</v>
      </c>
      <c r="D1283" s="65">
        <v>558.39602385000001</v>
      </c>
      <c r="E1283" s="47">
        <f t="shared" si="96"/>
        <v>-3.4853921066119953E-2</v>
      </c>
      <c r="H1283" s="65">
        <v>1167.6465810899999</v>
      </c>
      <c r="I1283" s="47">
        <f t="shared" si="97"/>
        <v>-5.0882993309306013E-2</v>
      </c>
      <c r="L1283" s="65">
        <v>352.99158788</v>
      </c>
      <c r="M1283" s="47">
        <f t="shared" si="98"/>
        <v>-3.6304080783649439E-2</v>
      </c>
      <c r="P1283" s="65">
        <v>358.02359316000002</v>
      </c>
      <c r="Q1283" s="47">
        <f t="shared" si="99"/>
        <v>-9.7313596669935665E-3</v>
      </c>
    </row>
    <row r="1284" spans="1:17" ht="14.4" x14ac:dyDescent="0.3">
      <c r="A1284" s="63">
        <v>46085</v>
      </c>
      <c r="B1284" s="64">
        <v>22409.8</v>
      </c>
      <c r="C1284" s="47">
        <f t="shared" ref="C1284:C1347" si="100">B1284/B1283-1</f>
        <v>-1.8661365084439274E-2</v>
      </c>
      <c r="D1284" s="65">
        <v>536.50104787999999</v>
      </c>
      <c r="E1284" s="47">
        <f t="shared" ref="E1284:E1347" si="101">D1284/D1283-1</f>
        <v>-3.9210479721971669E-2</v>
      </c>
      <c r="H1284" s="65">
        <v>1113.5796833300001</v>
      </c>
      <c r="I1284" s="47">
        <f t="shared" ref="I1284:I1347" si="102">H1284/H1283-1</f>
        <v>-4.6304163122310782E-2</v>
      </c>
      <c r="L1284" s="65">
        <v>340.89358981999999</v>
      </c>
      <c r="M1284" s="47">
        <f t="shared" ref="M1284:M1347" si="103">L1284/L1283-1</f>
        <v>-3.427276591110362E-2</v>
      </c>
      <c r="P1284" s="65">
        <v>354.85217310000002</v>
      </c>
      <c r="Q1284" s="47">
        <f t="shared" ref="Q1284:Q1347" si="104">P1284/P1283-1</f>
        <v>-8.8581314767787189E-3</v>
      </c>
    </row>
    <row r="1285" spans="1:17" ht="14.4" x14ac:dyDescent="0.3">
      <c r="A1285" s="63">
        <v>46086</v>
      </c>
      <c r="B1285" s="64">
        <v>22697.8</v>
      </c>
      <c r="C1285" s="47">
        <f t="shared" si="100"/>
        <v>1.2851520317004095E-2</v>
      </c>
      <c r="D1285" s="65">
        <v>544.06296959999997</v>
      </c>
      <c r="E1285" s="47">
        <f t="shared" si="101"/>
        <v>1.4094887139328272E-2</v>
      </c>
      <c r="H1285" s="65">
        <v>1122.2105458999999</v>
      </c>
      <c r="I1285" s="47">
        <f t="shared" si="102"/>
        <v>7.750556784756002E-3</v>
      </c>
      <c r="L1285" s="65">
        <v>348.59231585999999</v>
      </c>
      <c r="M1285" s="47">
        <f t="shared" si="103"/>
        <v>2.2583956606708533E-2</v>
      </c>
      <c r="P1285" s="65">
        <v>353.31601651</v>
      </c>
      <c r="Q1285" s="47">
        <f t="shared" si="104"/>
        <v>-4.3290043191228644E-3</v>
      </c>
    </row>
    <row r="1286" spans="1:17" ht="14.4" x14ac:dyDescent="0.3">
      <c r="A1286" s="63">
        <v>46087</v>
      </c>
      <c r="B1286" s="64">
        <v>22481.3</v>
      </c>
      <c r="C1286" s="47">
        <f t="shared" si="100"/>
        <v>-9.5383693573826145E-3</v>
      </c>
      <c r="D1286" s="65">
        <v>540.25729656999999</v>
      </c>
      <c r="E1286" s="47">
        <f t="shared" si="101"/>
        <v>-6.9949127998877314E-3</v>
      </c>
      <c r="H1286" s="65">
        <v>1124.8890894599999</v>
      </c>
      <c r="I1286" s="47">
        <f t="shared" si="102"/>
        <v>2.3868458283393679E-3</v>
      </c>
      <c r="L1286" s="65">
        <v>346.04273776000002</v>
      </c>
      <c r="M1286" s="47">
        <f t="shared" si="103"/>
        <v>-7.3139251326007626E-3</v>
      </c>
      <c r="P1286" s="65">
        <v>352.77092868</v>
      </c>
      <c r="Q1286" s="47">
        <f t="shared" si="104"/>
        <v>-1.5427770169728072E-3</v>
      </c>
    </row>
    <row r="1287" spans="1:17" ht="14.4" x14ac:dyDescent="0.3">
      <c r="A1287" s="63">
        <v>46090</v>
      </c>
      <c r="B1287" s="64">
        <v>22056.55</v>
      </c>
      <c r="C1287" s="47">
        <f t="shared" si="100"/>
        <v>-1.8893480359231885E-2</v>
      </c>
      <c r="D1287" s="65">
        <v>519.20253413</v>
      </c>
      <c r="E1287" s="47">
        <f t="shared" si="101"/>
        <v>-3.8971731753875472E-2</v>
      </c>
      <c r="H1287" s="65">
        <v>1082.3300084699999</v>
      </c>
      <c r="I1287" s="47">
        <f t="shared" si="102"/>
        <v>-3.7834024161822355E-2</v>
      </c>
      <c r="L1287" s="65">
        <v>330.34533532</v>
      </c>
      <c r="M1287" s="47">
        <f t="shared" si="103"/>
        <v>-4.5362611975654388E-2</v>
      </c>
      <c r="P1287" s="65">
        <v>351.77985991000003</v>
      </c>
      <c r="Q1287" s="47">
        <f t="shared" si="104"/>
        <v>-2.8093833403686208E-3</v>
      </c>
    </row>
    <row r="1288" spans="1:17" ht="14.4" x14ac:dyDescent="0.3">
      <c r="A1288" s="63">
        <v>46091</v>
      </c>
      <c r="B1288" s="64">
        <v>22342.95</v>
      </c>
      <c r="C1288" s="47">
        <f t="shared" si="100"/>
        <v>1.2984804967232089E-2</v>
      </c>
      <c r="D1288" s="65">
        <v>532.69537485000001</v>
      </c>
      <c r="E1288" s="47">
        <f t="shared" si="101"/>
        <v>2.598762493062412E-2</v>
      </c>
      <c r="H1288" s="65">
        <v>1111.19875572</v>
      </c>
      <c r="I1288" s="47">
        <f t="shared" si="102"/>
        <v>2.6672777271332881E-2</v>
      </c>
      <c r="L1288" s="65">
        <v>342.09339127999999</v>
      </c>
      <c r="M1288" s="47">
        <f t="shared" si="103"/>
        <v>3.5562953987589463E-2</v>
      </c>
      <c r="P1288" s="65">
        <v>373.73203317000002</v>
      </c>
      <c r="Q1288" s="47">
        <f t="shared" si="104"/>
        <v>6.2403155387054543E-2</v>
      </c>
    </row>
    <row r="1289" spans="1:17" ht="14.4" x14ac:dyDescent="0.3">
      <c r="A1289" s="63">
        <v>46092</v>
      </c>
      <c r="B1289" s="64">
        <v>22042.3</v>
      </c>
      <c r="C1289" s="47">
        <f t="shared" si="100"/>
        <v>-1.3456146122154955E-2</v>
      </c>
      <c r="D1289" s="65">
        <v>541.44348037999998</v>
      </c>
      <c r="E1289" s="47">
        <f t="shared" si="101"/>
        <v>1.6422341816771491E-2</v>
      </c>
      <c r="H1289" s="65">
        <v>1132.23028292</v>
      </c>
      <c r="I1289" s="47">
        <f t="shared" si="102"/>
        <v>1.8926881524784278E-2</v>
      </c>
      <c r="L1289" s="65">
        <v>340.44366428000001</v>
      </c>
      <c r="M1289" s="47">
        <f t="shared" si="103"/>
        <v>-4.8224462735958484E-3</v>
      </c>
      <c r="P1289" s="65">
        <v>376.75479292</v>
      </c>
      <c r="Q1289" s="47">
        <f t="shared" si="104"/>
        <v>8.0880403115592969E-3</v>
      </c>
    </row>
    <row r="1290" spans="1:17" ht="14.4" x14ac:dyDescent="0.3">
      <c r="A1290" s="63">
        <v>46093</v>
      </c>
      <c r="B1290" s="64">
        <v>21897.5</v>
      </c>
      <c r="C1290" s="47">
        <f t="shared" si="100"/>
        <v>-6.5691874259945493E-3</v>
      </c>
      <c r="D1290" s="65">
        <v>554.09610757999997</v>
      </c>
      <c r="E1290" s="47">
        <f t="shared" si="101"/>
        <v>2.3368324965553189E-2</v>
      </c>
      <c r="H1290" s="65">
        <v>1137.9841913099999</v>
      </c>
      <c r="I1290" s="47">
        <f t="shared" si="102"/>
        <v>5.081924125152959E-3</v>
      </c>
      <c r="L1290" s="65">
        <v>351.29186914000002</v>
      </c>
      <c r="M1290" s="47">
        <f t="shared" si="103"/>
        <v>3.1864904529631088E-2</v>
      </c>
      <c r="P1290" s="65">
        <v>379.87665953999999</v>
      </c>
      <c r="Q1290" s="47">
        <f t="shared" si="104"/>
        <v>8.2862027999810461E-3</v>
      </c>
    </row>
    <row r="1291" spans="1:17" ht="14.4" x14ac:dyDescent="0.3">
      <c r="A1291" s="63">
        <v>46094</v>
      </c>
      <c r="B1291" s="64">
        <v>21391.200000000001</v>
      </c>
      <c r="C1291" s="47">
        <f t="shared" si="100"/>
        <v>-2.3121360885945852E-2</v>
      </c>
      <c r="D1291" s="65">
        <v>542.72851281999999</v>
      </c>
      <c r="E1291" s="47">
        <f t="shared" si="101"/>
        <v>-2.051556508788277E-2</v>
      </c>
      <c r="H1291" s="65">
        <v>1093.24259334</v>
      </c>
      <c r="I1291" s="47">
        <f t="shared" si="102"/>
        <v>-3.9316537357601877E-2</v>
      </c>
      <c r="L1291" s="65">
        <v>346.54265502999999</v>
      </c>
      <c r="M1291" s="47">
        <f t="shared" si="103"/>
        <v>-1.3519282759451912E-2</v>
      </c>
      <c r="P1291" s="65">
        <v>369.42088402000002</v>
      </c>
      <c r="Q1291" s="47">
        <f t="shared" si="104"/>
        <v>-2.7524132524122669E-2</v>
      </c>
    </row>
    <row r="1292" spans="1:17" ht="14.4" x14ac:dyDescent="0.3">
      <c r="A1292" s="63">
        <v>46097</v>
      </c>
      <c r="B1292" s="64">
        <v>21498.799999999999</v>
      </c>
      <c r="C1292" s="47">
        <f t="shared" si="100"/>
        <v>5.0301058379145225E-3</v>
      </c>
      <c r="D1292" s="65">
        <v>528.44488290000004</v>
      </c>
      <c r="E1292" s="47">
        <f t="shared" si="101"/>
        <v>-2.6318185948592698E-2</v>
      </c>
      <c r="H1292" s="65">
        <v>1079.4530542800001</v>
      </c>
      <c r="I1292" s="47">
        <f t="shared" si="102"/>
        <v>-1.2613430124297498E-2</v>
      </c>
      <c r="L1292" s="65">
        <v>338.09405307999998</v>
      </c>
      <c r="M1292" s="47">
        <f t="shared" si="103"/>
        <v>-2.4379688408829869E-2</v>
      </c>
      <c r="P1292" s="65">
        <v>357.67671909000001</v>
      </c>
      <c r="Q1292" s="47">
        <f t="shared" si="104"/>
        <v>-3.1790744481473898E-2</v>
      </c>
    </row>
    <row r="1293" spans="1:17" ht="14.4" x14ac:dyDescent="0.3">
      <c r="A1293" s="63">
        <v>46098</v>
      </c>
      <c r="B1293" s="64">
        <v>21669.3</v>
      </c>
      <c r="C1293" s="47">
        <f t="shared" si="100"/>
        <v>7.9306752004764114E-3</v>
      </c>
      <c r="D1293" s="65">
        <v>533.09076945000004</v>
      </c>
      <c r="E1293" s="47">
        <f t="shared" si="101"/>
        <v>8.7916199027309183E-3</v>
      </c>
      <c r="H1293" s="65">
        <v>1045.5248358599999</v>
      </c>
      <c r="I1293" s="47">
        <f t="shared" si="102"/>
        <v>-3.1430934662212251E-2</v>
      </c>
      <c r="L1293" s="65">
        <v>345.14288665999999</v>
      </c>
      <c r="M1293" s="47">
        <f t="shared" si="103"/>
        <v>2.084873577569879E-2</v>
      </c>
      <c r="P1293" s="65">
        <v>339.39150029000001</v>
      </c>
      <c r="Q1293" s="47">
        <f t="shared" si="104"/>
        <v>-5.1122194495971662E-2</v>
      </c>
    </row>
    <row r="1294" spans="1:17" ht="14.4" x14ac:dyDescent="0.3">
      <c r="A1294" s="63">
        <v>46099</v>
      </c>
      <c r="B1294" s="64">
        <v>21917.4</v>
      </c>
      <c r="C1294" s="47">
        <f t="shared" si="100"/>
        <v>1.1449377691019169E-2</v>
      </c>
      <c r="D1294" s="65">
        <v>555.43056435000005</v>
      </c>
      <c r="E1294" s="47">
        <f t="shared" si="101"/>
        <v>4.1906174670869767E-2</v>
      </c>
      <c r="H1294" s="65">
        <v>1060.00881215</v>
      </c>
      <c r="I1294" s="47">
        <f t="shared" si="102"/>
        <v>1.3853306773039309E-2</v>
      </c>
      <c r="L1294" s="65">
        <v>354.94126525000001</v>
      </c>
      <c r="M1294" s="47">
        <f t="shared" si="103"/>
        <v>2.8389339513325673E-2</v>
      </c>
      <c r="P1294" s="65">
        <v>345.18925259000002</v>
      </c>
      <c r="Q1294" s="47">
        <f t="shared" si="104"/>
        <v>1.7082785794712008E-2</v>
      </c>
    </row>
    <row r="1295" spans="1:17" ht="14.4" x14ac:dyDescent="0.3">
      <c r="A1295" s="63">
        <v>46100</v>
      </c>
      <c r="B1295" s="64">
        <v>21225.8</v>
      </c>
      <c r="C1295" s="47">
        <f t="shared" si="100"/>
        <v>-3.1554837708852479E-2</v>
      </c>
      <c r="D1295" s="65">
        <v>552.81107512999995</v>
      </c>
      <c r="E1295" s="47">
        <f t="shared" si="101"/>
        <v>-4.7161416532156553E-3</v>
      </c>
      <c r="H1295" s="65">
        <v>1059.11596429</v>
      </c>
      <c r="I1295" s="47">
        <f t="shared" si="102"/>
        <v>-8.4230229953385916E-4</v>
      </c>
      <c r="L1295" s="65">
        <v>351.19188568999999</v>
      </c>
      <c r="M1295" s="47">
        <f t="shared" si="103"/>
        <v>-1.0563380274646761E-2</v>
      </c>
      <c r="P1295" s="65">
        <v>334.53526331</v>
      </c>
      <c r="Q1295" s="47">
        <f t="shared" si="104"/>
        <v>-3.0864197538196025E-2</v>
      </c>
    </row>
    <row r="1296" spans="1:17" ht="14.4" x14ac:dyDescent="0.3">
      <c r="A1296" s="63">
        <v>46101</v>
      </c>
      <c r="B1296" s="64">
        <v>21327.9</v>
      </c>
      <c r="C1296" s="47">
        <f t="shared" si="100"/>
        <v>4.8101838328826751E-3</v>
      </c>
      <c r="D1296" s="65">
        <v>539.81247765000001</v>
      </c>
      <c r="E1296" s="47">
        <f t="shared" si="101"/>
        <v>-2.3513634340526113E-2</v>
      </c>
      <c r="H1296" s="65">
        <v>1062.48894507</v>
      </c>
      <c r="I1296" s="47">
        <f t="shared" si="102"/>
        <v>3.1847133776905512E-3</v>
      </c>
      <c r="L1296" s="65">
        <v>350.09206768000001</v>
      </c>
      <c r="M1296" s="47">
        <f t="shared" si="103"/>
        <v>-3.1316726120796945E-3</v>
      </c>
      <c r="P1296" s="65">
        <v>350.49147051</v>
      </c>
      <c r="Q1296" s="47">
        <f t="shared" si="104"/>
        <v>4.7696637544646592E-2</v>
      </c>
    </row>
    <row r="1297" spans="1:17" ht="14.4" x14ac:dyDescent="0.3">
      <c r="A1297" s="63">
        <v>46104</v>
      </c>
      <c r="B1297" s="64">
        <v>20664.25</v>
      </c>
      <c r="C1297" s="47">
        <f t="shared" si="100"/>
        <v>-3.1116518738366294E-2</v>
      </c>
      <c r="D1297" s="65">
        <v>508.92227452999998</v>
      </c>
      <c r="E1297" s="47">
        <f t="shared" si="101"/>
        <v>-5.722395164794325E-2</v>
      </c>
      <c r="H1297" s="65">
        <v>1010.00933238</v>
      </c>
      <c r="I1297" s="47">
        <f t="shared" si="102"/>
        <v>-4.9393090566737574E-2</v>
      </c>
      <c r="L1297" s="65">
        <v>332.99489688</v>
      </c>
      <c r="M1297" s="47">
        <f t="shared" si="103"/>
        <v>-4.8836213037616205E-2</v>
      </c>
      <c r="P1297" s="65">
        <v>352.12673397999998</v>
      </c>
      <c r="Q1297" s="47">
        <f t="shared" si="104"/>
        <v>4.6656298586111866E-3</v>
      </c>
    </row>
    <row r="1298" spans="1:17" ht="14.4" x14ac:dyDescent="0.3">
      <c r="A1298" s="63">
        <v>46105</v>
      </c>
      <c r="B1298" s="64">
        <v>21067</v>
      </c>
      <c r="C1298" s="47">
        <f t="shared" si="100"/>
        <v>1.9490182319706673E-2</v>
      </c>
      <c r="D1298" s="65">
        <v>539.21938575000001</v>
      </c>
      <c r="E1298" s="47">
        <f t="shared" si="101"/>
        <v>5.9531902485463029E-2</v>
      </c>
      <c r="H1298" s="65">
        <v>1043.4415242099999</v>
      </c>
      <c r="I1298" s="47">
        <f t="shared" si="102"/>
        <v>3.3100874178280781E-2</v>
      </c>
      <c r="L1298" s="65">
        <v>338.64396209</v>
      </c>
      <c r="M1298" s="47">
        <f t="shared" si="103"/>
        <v>1.6964419764173622E-2</v>
      </c>
      <c r="P1298" s="65">
        <v>350.93745145999998</v>
      </c>
      <c r="Q1298" s="47">
        <f t="shared" si="104"/>
        <v>-3.3774275146843946E-3</v>
      </c>
    </row>
    <row r="1299" spans="1:17" ht="14.4" x14ac:dyDescent="0.3">
      <c r="A1299" s="63">
        <v>46106</v>
      </c>
      <c r="B1299" s="64">
        <v>21478.2</v>
      </c>
      <c r="C1299" s="47">
        <f t="shared" si="100"/>
        <v>1.9518678501922571E-2</v>
      </c>
      <c r="D1299" s="65">
        <v>543.51930202999995</v>
      </c>
      <c r="E1299" s="47">
        <f t="shared" si="101"/>
        <v>7.9743354813164302E-3</v>
      </c>
      <c r="H1299" s="65">
        <v>1101.1790186999999</v>
      </c>
      <c r="I1299" s="47">
        <f t="shared" si="102"/>
        <v>5.5333713629725167E-2</v>
      </c>
      <c r="L1299" s="65">
        <v>356.34103362000002</v>
      </c>
      <c r="M1299" s="47">
        <f t="shared" si="103"/>
        <v>5.2258635945491072E-2</v>
      </c>
      <c r="P1299" s="65">
        <v>358.22180692000001</v>
      </c>
      <c r="Q1299" s="47">
        <f t="shared" si="104"/>
        <v>2.0756848349171797E-2</v>
      </c>
    </row>
    <row r="1300" spans="1:17" ht="14.4" x14ac:dyDescent="0.3">
      <c r="A1300" s="63">
        <v>46108</v>
      </c>
      <c r="B1300" s="64">
        <v>21020.15</v>
      </c>
      <c r="C1300" s="47">
        <f t="shared" si="100"/>
        <v>-2.1326275013734852E-2</v>
      </c>
      <c r="D1300" s="65">
        <v>527.55524505000005</v>
      </c>
      <c r="E1300" s="47">
        <f t="shared" si="101"/>
        <v>-2.9371646821696018E-2</v>
      </c>
      <c r="H1300" s="65">
        <v>1065.16748863</v>
      </c>
      <c r="I1300" s="47">
        <f t="shared" si="102"/>
        <v>-3.2702702701794539E-2</v>
      </c>
      <c r="L1300" s="65">
        <v>347.34252266999999</v>
      </c>
      <c r="M1300" s="47">
        <f t="shared" si="103"/>
        <v>-2.5252525252525304E-2</v>
      </c>
      <c r="P1300" s="65">
        <v>348.06335202000002</v>
      </c>
      <c r="Q1300" s="47">
        <f t="shared" si="104"/>
        <v>-2.8358002510630587E-2</v>
      </c>
    </row>
    <row r="1301" spans="1:17" ht="14.4" x14ac:dyDescent="0.3">
      <c r="A1301" s="63">
        <v>46111</v>
      </c>
      <c r="B1301" s="64">
        <v>20528.05</v>
      </c>
      <c r="C1301" s="47">
        <f t="shared" si="100"/>
        <v>-2.3410870046122523E-2</v>
      </c>
      <c r="D1301" s="65">
        <v>505.41314745</v>
      </c>
      <c r="E1301" s="47">
        <f t="shared" si="101"/>
        <v>-4.1971144837924079E-2</v>
      </c>
      <c r="H1301" s="65">
        <v>1049.1954325900001</v>
      </c>
      <c r="I1301" s="47">
        <f t="shared" si="102"/>
        <v>-1.4994877529113104E-2</v>
      </c>
      <c r="L1301" s="65">
        <v>334.29468179000003</v>
      </c>
      <c r="M1301" s="47">
        <f t="shared" si="103"/>
        <v>-3.7564766846575615E-2</v>
      </c>
      <c r="P1301" s="65">
        <v>334.73347706999999</v>
      </c>
      <c r="Q1301" s="47">
        <f t="shared" si="104"/>
        <v>-3.8297266496571836E-2</v>
      </c>
    </row>
    <row r="1302" spans="1:17" ht="14.4" x14ac:dyDescent="0.3">
      <c r="A1302" s="63">
        <v>46113</v>
      </c>
      <c r="B1302" s="64">
        <v>20935.150000000001</v>
      </c>
      <c r="C1302" s="47">
        <f t="shared" si="100"/>
        <v>1.9831401423905382E-2</v>
      </c>
      <c r="D1302" s="65">
        <v>516.03937732999998</v>
      </c>
      <c r="E1302" s="47">
        <f t="shared" si="101"/>
        <v>2.1024838656479972E-2</v>
      </c>
      <c r="H1302" s="65">
        <v>1087.7863009099999</v>
      </c>
      <c r="I1302" s="47">
        <f t="shared" si="102"/>
        <v>3.6781391837301447E-2</v>
      </c>
      <c r="L1302" s="65">
        <v>352.84161269999998</v>
      </c>
      <c r="M1302" s="47">
        <f t="shared" si="103"/>
        <v>5.5480783632839703E-2</v>
      </c>
      <c r="P1302" s="65">
        <v>342.56292035000001</v>
      </c>
      <c r="Q1302" s="47">
        <f t="shared" si="104"/>
        <v>2.3390081412032471E-2</v>
      </c>
    </row>
    <row r="1303" spans="1:17" ht="14.4" x14ac:dyDescent="0.3">
      <c r="A1303" s="63">
        <v>46114</v>
      </c>
      <c r="B1303" s="64">
        <v>20938.349999999999</v>
      </c>
      <c r="C1303" s="47">
        <f t="shared" si="100"/>
        <v>1.5285297693101718E-4</v>
      </c>
      <c r="D1303" s="65">
        <v>523.40360175000001</v>
      </c>
      <c r="E1303" s="47">
        <f t="shared" si="101"/>
        <v>1.4270663719700316E-2</v>
      </c>
      <c r="H1303" s="65">
        <v>1097.3100113400001</v>
      </c>
      <c r="I1303" s="47">
        <f t="shared" si="102"/>
        <v>8.7551299570816088E-3</v>
      </c>
      <c r="L1303" s="65">
        <v>351.44184432999998</v>
      </c>
      <c r="M1303" s="47">
        <f t="shared" si="103"/>
        <v>-3.9671294983852912E-3</v>
      </c>
      <c r="P1303" s="65">
        <v>346.13076791999998</v>
      </c>
      <c r="Q1303" s="47">
        <f t="shared" si="104"/>
        <v>1.0415159837949384E-2</v>
      </c>
    </row>
    <row r="1304" spans="1:17" ht="14.4" x14ac:dyDescent="0.3">
      <c r="A1304" s="63">
        <v>46118</v>
      </c>
      <c r="B1304" s="64">
        <v>21194.05</v>
      </c>
      <c r="C1304" s="47">
        <f t="shared" si="100"/>
        <v>1.2212041541000085E-2</v>
      </c>
      <c r="D1304" s="65">
        <v>527.50582072999998</v>
      </c>
      <c r="E1304" s="47">
        <f t="shared" si="101"/>
        <v>7.8375826346708255E-3</v>
      </c>
      <c r="H1304" s="65">
        <v>1075.5840469100001</v>
      </c>
      <c r="I1304" s="47">
        <f t="shared" si="102"/>
        <v>-1.9799294825961655E-2</v>
      </c>
      <c r="L1304" s="65">
        <v>357.29087643999998</v>
      </c>
      <c r="M1304" s="47">
        <f t="shared" si="103"/>
        <v>1.6642958726644563E-2</v>
      </c>
      <c r="P1304" s="65">
        <v>350.14459643999999</v>
      </c>
      <c r="Q1304" s="47">
        <f t="shared" si="104"/>
        <v>1.1596277742427441E-2</v>
      </c>
    </row>
    <row r="1305" spans="1:17" ht="14.4" x14ac:dyDescent="0.3">
      <c r="A1305" s="63">
        <v>46119</v>
      </c>
      <c r="B1305" s="64">
        <v>21296.45</v>
      </c>
      <c r="C1305" s="47">
        <f t="shared" si="100"/>
        <v>4.8315447024047664E-3</v>
      </c>
      <c r="D1305" s="65">
        <v>525.18287744999998</v>
      </c>
      <c r="E1305" s="47">
        <f t="shared" si="101"/>
        <v>-4.4036353509527837E-3</v>
      </c>
      <c r="H1305" s="65">
        <v>1083.71888291</v>
      </c>
      <c r="I1305" s="47">
        <f t="shared" si="102"/>
        <v>7.5631802306572737E-3</v>
      </c>
      <c r="L1305" s="65">
        <v>360.34037181999997</v>
      </c>
      <c r="M1305" s="47">
        <f t="shared" si="103"/>
        <v>8.535049678247475E-3</v>
      </c>
      <c r="P1305" s="65">
        <v>349.30218798999999</v>
      </c>
      <c r="Q1305" s="47">
        <f t="shared" si="104"/>
        <v>-2.4058873350180088E-3</v>
      </c>
    </row>
    <row r="1306" spans="1:17" ht="14.4" x14ac:dyDescent="0.3">
      <c r="A1306" s="63">
        <v>46120</v>
      </c>
      <c r="B1306" s="64">
        <v>22137.1</v>
      </c>
      <c r="C1306" s="47">
        <f t="shared" si="100"/>
        <v>3.9473715102751772E-2</v>
      </c>
      <c r="D1306" s="65">
        <v>561.06493739999996</v>
      </c>
      <c r="E1306" s="47">
        <f t="shared" si="101"/>
        <v>6.8322981366459645E-2</v>
      </c>
      <c r="H1306" s="65">
        <v>1123.7978309800001</v>
      </c>
      <c r="I1306" s="47">
        <f t="shared" si="102"/>
        <v>3.6982790188522019E-2</v>
      </c>
      <c r="L1306" s="65">
        <v>377.08760052999997</v>
      </c>
      <c r="M1306" s="47">
        <f t="shared" si="103"/>
        <v>4.6476137617923463E-2</v>
      </c>
      <c r="P1306" s="65">
        <v>356.83431064000001</v>
      </c>
      <c r="Q1306" s="47">
        <f t="shared" si="104"/>
        <v>2.1563342312117539E-2</v>
      </c>
    </row>
    <row r="1307" spans="1:17" ht="14.4" x14ac:dyDescent="0.3">
      <c r="A1307" s="63">
        <v>46121</v>
      </c>
      <c r="B1307" s="64">
        <v>22037.5</v>
      </c>
      <c r="C1307" s="47">
        <f t="shared" si="100"/>
        <v>-4.4992343170513482E-3</v>
      </c>
      <c r="D1307" s="65">
        <v>571.54289429999994</v>
      </c>
      <c r="E1307" s="47">
        <f t="shared" si="101"/>
        <v>1.8675123326286069E-2</v>
      </c>
      <c r="H1307" s="65">
        <v>1133.9167733100001</v>
      </c>
      <c r="I1307" s="47">
        <f t="shared" si="102"/>
        <v>9.0042372845442475E-3</v>
      </c>
      <c r="L1307" s="65">
        <v>378.08743507999998</v>
      </c>
      <c r="M1307" s="47">
        <f t="shared" si="103"/>
        <v>2.6514649343938324E-3</v>
      </c>
      <c r="P1307" s="65">
        <v>356.58654345000002</v>
      </c>
      <c r="Q1307" s="47">
        <f t="shared" si="104"/>
        <v>-6.9434800021217491E-4</v>
      </c>
    </row>
    <row r="1308" spans="1:17" ht="14.4" x14ac:dyDescent="0.3">
      <c r="A1308" s="63">
        <v>46122</v>
      </c>
      <c r="B1308" s="64">
        <v>22346.75</v>
      </c>
      <c r="C1308" s="47">
        <f t="shared" si="100"/>
        <v>1.4032898468519628E-2</v>
      </c>
      <c r="D1308" s="65">
        <v>567.04528072999994</v>
      </c>
      <c r="E1308" s="47">
        <f t="shared" si="101"/>
        <v>-7.8692493859249257E-3</v>
      </c>
      <c r="H1308" s="65">
        <v>1173.8965160600001</v>
      </c>
      <c r="I1308" s="47">
        <f t="shared" si="102"/>
        <v>3.5258092737525892E-2</v>
      </c>
      <c r="L1308" s="65">
        <v>384.23641757000001</v>
      </c>
      <c r="M1308" s="47">
        <f t="shared" si="103"/>
        <v>1.6263387564569465E-2</v>
      </c>
      <c r="P1308" s="65">
        <v>363.52402483999998</v>
      </c>
      <c r="Q1308" s="47">
        <f t="shared" si="104"/>
        <v>1.9455252918069599E-2</v>
      </c>
    </row>
    <row r="1309" spans="1:17" ht="14.4" x14ac:dyDescent="0.3">
      <c r="A1309" s="63">
        <v>46125</v>
      </c>
      <c r="B1309" s="64">
        <v>22179.05</v>
      </c>
      <c r="C1309" s="47">
        <f t="shared" si="100"/>
        <v>-7.5044469553738891E-3</v>
      </c>
      <c r="D1309" s="65">
        <v>557.45696167999995</v>
      </c>
      <c r="E1309" s="47">
        <f t="shared" si="101"/>
        <v>-1.6909265231263793E-2</v>
      </c>
      <c r="H1309" s="65">
        <v>1161.5950567499999</v>
      </c>
      <c r="I1309" s="47">
        <f t="shared" si="102"/>
        <v>-1.0479168428992436E-2</v>
      </c>
      <c r="L1309" s="65">
        <v>380.23707937</v>
      </c>
      <c r="M1309" s="47">
        <f t="shared" si="103"/>
        <v>-1.0408534998563534E-2</v>
      </c>
      <c r="P1309" s="65">
        <v>376.65568603999998</v>
      </c>
      <c r="Q1309" s="47">
        <f t="shared" si="104"/>
        <v>3.6123227909846456E-2</v>
      </c>
    </row>
    <row r="1310" spans="1:17" ht="14.4" x14ac:dyDescent="0.3">
      <c r="A1310" s="63">
        <v>46127</v>
      </c>
      <c r="B1310" s="64">
        <v>22595.55</v>
      </c>
      <c r="C1310" s="47">
        <f t="shared" si="100"/>
        <v>1.8778982868968619E-2</v>
      </c>
      <c r="D1310" s="65">
        <v>558.84084278</v>
      </c>
      <c r="E1310" s="47">
        <f t="shared" si="101"/>
        <v>2.4824895823876147E-3</v>
      </c>
      <c r="H1310" s="65">
        <v>1202.36844204</v>
      </c>
      <c r="I1310" s="47">
        <f t="shared" si="102"/>
        <v>3.5101204204569303E-2</v>
      </c>
      <c r="L1310" s="65">
        <v>401.83350564</v>
      </c>
      <c r="M1310" s="47">
        <f t="shared" si="103"/>
        <v>5.6797265289808774E-2</v>
      </c>
      <c r="P1310" s="65">
        <v>385.07977058</v>
      </c>
      <c r="Q1310" s="47">
        <f t="shared" si="104"/>
        <v>2.2365478213185463E-2</v>
      </c>
    </row>
    <row r="1311" spans="1:17" ht="14.4" x14ac:dyDescent="0.3">
      <c r="A1311" s="63">
        <v>46128</v>
      </c>
      <c r="B1311" s="64">
        <v>22656.3</v>
      </c>
      <c r="C1311" s="47">
        <f t="shared" si="100"/>
        <v>2.6885824863744912E-3</v>
      </c>
      <c r="D1311" s="65">
        <v>562.89363743000001</v>
      </c>
      <c r="E1311" s="47">
        <f t="shared" si="101"/>
        <v>7.2521446890656538E-3</v>
      </c>
      <c r="H1311" s="65">
        <v>1194.3328113600001</v>
      </c>
      <c r="I1311" s="47">
        <f t="shared" si="102"/>
        <v>-6.6831683193266933E-3</v>
      </c>
      <c r="L1311" s="65">
        <v>407.23261222000002</v>
      </c>
      <c r="M1311" s="47">
        <f t="shared" si="103"/>
        <v>1.3436178178822811E-2</v>
      </c>
      <c r="P1311" s="65">
        <v>384.13825524999999</v>
      </c>
      <c r="Q1311" s="47">
        <f t="shared" si="104"/>
        <v>-2.4449877711880674E-3</v>
      </c>
    </row>
    <row r="1312" spans="1:17" ht="14.4" x14ac:dyDescent="0.3">
      <c r="A1312" s="63">
        <v>46129</v>
      </c>
      <c r="B1312" s="64">
        <v>22869.4</v>
      </c>
      <c r="C1312" s="47">
        <f t="shared" si="100"/>
        <v>9.4057723458818021E-3</v>
      </c>
      <c r="D1312" s="65">
        <v>573.37159431999999</v>
      </c>
      <c r="E1312" s="47">
        <f t="shared" si="101"/>
        <v>1.8614452523995739E-2</v>
      </c>
      <c r="H1312" s="65">
        <v>1221.91188949</v>
      </c>
      <c r="I1312" s="47">
        <f t="shared" si="102"/>
        <v>2.3091618908631872E-2</v>
      </c>
      <c r="L1312" s="65">
        <v>433.27830224000002</v>
      </c>
      <c r="M1312" s="47">
        <f t="shared" si="103"/>
        <v>6.3957770665796554E-2</v>
      </c>
      <c r="P1312" s="65">
        <v>387.90431658</v>
      </c>
      <c r="Q1312" s="47">
        <f t="shared" si="104"/>
        <v>9.8039215790914902E-3</v>
      </c>
    </row>
    <row r="1313" spans="1:17" ht="14.4" x14ac:dyDescent="0.3">
      <c r="A1313" s="63">
        <v>46132</v>
      </c>
      <c r="B1313" s="64">
        <v>22865.8</v>
      </c>
      <c r="C1313" s="47">
        <f t="shared" si="100"/>
        <v>-1.5741558589210669E-4</v>
      </c>
      <c r="D1313" s="65">
        <v>553.10762107999994</v>
      </c>
      <c r="E1313" s="47">
        <f t="shared" si="101"/>
        <v>-3.5341780863826111E-2</v>
      </c>
      <c r="H1313" s="65">
        <v>1231.63401056</v>
      </c>
      <c r="I1313" s="47">
        <f t="shared" si="102"/>
        <v>7.9564829130664982E-3</v>
      </c>
      <c r="L1313" s="65">
        <v>436.52776453000001</v>
      </c>
      <c r="M1313" s="47">
        <f t="shared" si="103"/>
        <v>7.499711555368993E-3</v>
      </c>
      <c r="P1313" s="65">
        <v>393.80117575999998</v>
      </c>
      <c r="Q1313" s="47">
        <f t="shared" si="104"/>
        <v>1.5201839546386875E-2</v>
      </c>
    </row>
    <row r="1314" spans="1:17" ht="14.4" x14ac:dyDescent="0.3">
      <c r="A1314" s="63">
        <v>46133</v>
      </c>
      <c r="B1314" s="64">
        <v>23042.35</v>
      </c>
      <c r="C1314" s="47">
        <f t="shared" si="100"/>
        <v>7.7211381189374872E-3</v>
      </c>
      <c r="D1314" s="65">
        <v>576.88072139999997</v>
      </c>
      <c r="E1314" s="47">
        <f t="shared" si="101"/>
        <v>4.2980966838932044E-2</v>
      </c>
      <c r="H1314" s="65">
        <v>1239.17361465</v>
      </c>
      <c r="I1314" s="47">
        <f t="shared" si="102"/>
        <v>6.1216270623867253E-3</v>
      </c>
      <c r="L1314" s="65">
        <v>465.12303265999998</v>
      </c>
      <c r="M1314" s="47">
        <f t="shared" si="103"/>
        <v>6.5506184150251778E-2</v>
      </c>
      <c r="P1314" s="65">
        <v>395.08956516000001</v>
      </c>
      <c r="Q1314" s="47">
        <f t="shared" si="104"/>
        <v>3.2716748433103682E-3</v>
      </c>
    </row>
    <row r="1315" spans="1:17" ht="14.4" x14ac:dyDescent="0.3">
      <c r="A1315" s="63">
        <v>46134</v>
      </c>
      <c r="B1315" s="64">
        <v>22991.5</v>
      </c>
      <c r="C1315" s="47">
        <f t="shared" si="100"/>
        <v>-2.2068061634338276E-3</v>
      </c>
      <c r="D1315" s="65">
        <v>582.16912418000004</v>
      </c>
      <c r="E1315" s="47">
        <f t="shared" si="101"/>
        <v>9.1672378428004908E-3</v>
      </c>
      <c r="H1315" s="65">
        <v>1255.93931322</v>
      </c>
      <c r="I1315" s="47">
        <f t="shared" si="102"/>
        <v>1.3529741411364204E-2</v>
      </c>
      <c r="L1315" s="65">
        <v>471.77193241999998</v>
      </c>
      <c r="M1315" s="47">
        <f t="shared" si="103"/>
        <v>1.4294926918530626E-2</v>
      </c>
      <c r="P1315" s="65">
        <v>394.64358420999997</v>
      </c>
      <c r="Q1315" s="47">
        <f t="shared" si="104"/>
        <v>-1.1288097417085918E-3</v>
      </c>
    </row>
    <row r="1316" spans="1:17" ht="14.4" x14ac:dyDescent="0.3">
      <c r="A1316" s="63">
        <v>46135</v>
      </c>
      <c r="B1316" s="64">
        <v>22810.85</v>
      </c>
      <c r="C1316" s="47">
        <f t="shared" si="100"/>
        <v>-7.857251592980119E-3</v>
      </c>
      <c r="D1316" s="65">
        <v>573.51986729999999</v>
      </c>
      <c r="E1316" s="47">
        <f t="shared" si="101"/>
        <v>-1.4856948815660354E-2</v>
      </c>
      <c r="H1316" s="65">
        <v>1253.9552068800001</v>
      </c>
      <c r="I1316" s="47">
        <f t="shared" si="102"/>
        <v>-1.5797788309636074E-3</v>
      </c>
      <c r="L1316" s="65">
        <v>469.57229640999998</v>
      </c>
      <c r="M1316" s="47">
        <f t="shared" si="103"/>
        <v>-4.662498675401805E-3</v>
      </c>
      <c r="P1316" s="65">
        <v>389.98556100000002</v>
      </c>
      <c r="Q1316" s="47">
        <f t="shared" si="104"/>
        <v>-1.1803113990372927E-2</v>
      </c>
    </row>
    <row r="1317" spans="1:17" ht="14.4" x14ac:dyDescent="0.3">
      <c r="A1317" s="63">
        <v>46136</v>
      </c>
      <c r="B1317" s="64">
        <v>22570.05</v>
      </c>
      <c r="C1317" s="47">
        <f t="shared" si="100"/>
        <v>-1.0556379968304497E-2</v>
      </c>
      <c r="D1317" s="65">
        <v>568.52801048000003</v>
      </c>
      <c r="E1317" s="47">
        <f t="shared" si="101"/>
        <v>-8.7038951998306135E-3</v>
      </c>
      <c r="H1317" s="65">
        <v>1230.9395733399999</v>
      </c>
      <c r="I1317" s="47">
        <f t="shared" si="102"/>
        <v>-1.835443037655704E-2</v>
      </c>
      <c r="L1317" s="65">
        <v>454.07486088000002</v>
      </c>
      <c r="M1317" s="47">
        <f t="shared" si="103"/>
        <v>-3.3003300340505248E-2</v>
      </c>
      <c r="P1317" s="65">
        <v>385.12932402000001</v>
      </c>
      <c r="Q1317" s="47">
        <f t="shared" si="104"/>
        <v>-1.2452350716646188E-2</v>
      </c>
    </row>
    <row r="1318" spans="1:17" ht="14.4" x14ac:dyDescent="0.3">
      <c r="A1318" s="63">
        <v>46139</v>
      </c>
      <c r="B1318" s="64">
        <v>22821.4</v>
      </c>
      <c r="C1318" s="47">
        <f t="shared" si="100"/>
        <v>1.1136439662295938E-2</v>
      </c>
      <c r="D1318" s="65">
        <v>569.51649698000006</v>
      </c>
      <c r="E1318" s="47">
        <f t="shared" si="101"/>
        <v>1.7386768668889996E-3</v>
      </c>
      <c r="H1318" s="65">
        <v>1251.57427927</v>
      </c>
      <c r="I1318" s="47">
        <f t="shared" si="102"/>
        <v>1.6763378460577405E-2</v>
      </c>
      <c r="L1318" s="65">
        <v>477.67095626000003</v>
      </c>
      <c r="M1318" s="47">
        <f t="shared" si="103"/>
        <v>5.1965209732753426E-2</v>
      </c>
      <c r="P1318" s="65">
        <v>393.65251544</v>
      </c>
      <c r="Q1318" s="47">
        <f t="shared" si="104"/>
        <v>2.2130725676857033E-2</v>
      </c>
    </row>
    <row r="1319" spans="1:17" ht="14.4" x14ac:dyDescent="0.3">
      <c r="A1319" s="63">
        <v>46140</v>
      </c>
      <c r="B1319" s="64">
        <v>22765.599999999999</v>
      </c>
      <c r="C1319" s="47">
        <f t="shared" si="100"/>
        <v>-2.4450734836601873E-3</v>
      </c>
      <c r="D1319" s="65">
        <v>564.72233745000005</v>
      </c>
      <c r="E1319" s="47">
        <f t="shared" si="101"/>
        <v>-8.4179467239705597E-3</v>
      </c>
      <c r="H1319" s="65">
        <v>1244.2330858099999</v>
      </c>
      <c r="I1319" s="47">
        <f t="shared" si="102"/>
        <v>-5.8655675348985303E-3</v>
      </c>
      <c r="L1319" s="65">
        <v>489.86893777</v>
      </c>
      <c r="M1319" s="47">
        <f t="shared" si="103"/>
        <v>2.5536368393644926E-2</v>
      </c>
      <c r="P1319" s="65">
        <v>394.44537045999999</v>
      </c>
      <c r="Q1319" s="47">
        <f t="shared" si="104"/>
        <v>2.0140987010175415E-3</v>
      </c>
    </row>
    <row r="1320" spans="1:17" ht="14.4" x14ac:dyDescent="0.3">
      <c r="A1320" s="63">
        <v>46141</v>
      </c>
      <c r="B1320" s="64">
        <v>22871</v>
      </c>
      <c r="C1320" s="47">
        <f t="shared" si="100"/>
        <v>4.6297923182345713E-3</v>
      </c>
      <c r="D1320" s="65">
        <v>558.98911575</v>
      </c>
      <c r="E1320" s="47">
        <f t="shared" si="101"/>
        <v>-1.0152284263959532E-2</v>
      </c>
      <c r="H1320" s="65">
        <v>1254.25282283</v>
      </c>
      <c r="I1320" s="47">
        <f t="shared" si="102"/>
        <v>8.0529421169324156E-3</v>
      </c>
      <c r="L1320" s="65">
        <v>485.61964094000001</v>
      </c>
      <c r="M1320" s="47">
        <f t="shared" si="103"/>
        <v>-8.6743545107060838E-3</v>
      </c>
      <c r="P1320" s="65">
        <v>393.20653449999998</v>
      </c>
      <c r="Q1320" s="47">
        <f t="shared" si="104"/>
        <v>-3.1407035112499537E-3</v>
      </c>
    </row>
    <row r="1321" spans="1:17" ht="14.4" x14ac:dyDescent="0.3">
      <c r="A1321" s="63">
        <v>46142</v>
      </c>
      <c r="B1321" s="64">
        <v>22683.55</v>
      </c>
      <c r="C1321" s="47">
        <f t="shared" si="100"/>
        <v>-8.1959686939793164E-3</v>
      </c>
      <c r="D1321" s="65">
        <v>554.24438054999996</v>
      </c>
      <c r="E1321" s="47">
        <f t="shared" si="101"/>
        <v>-8.4880636604774962E-3</v>
      </c>
      <c r="H1321" s="65">
        <v>1240.3640784500001</v>
      </c>
      <c r="I1321" s="47">
        <f t="shared" si="102"/>
        <v>-1.1073321205418929E-2</v>
      </c>
      <c r="L1321" s="65">
        <v>478.37084045</v>
      </c>
      <c r="M1321" s="47">
        <f t="shared" si="103"/>
        <v>-1.4926909619983109E-2</v>
      </c>
      <c r="P1321" s="65">
        <v>392.56233980000002</v>
      </c>
      <c r="Q1321" s="47">
        <f t="shared" si="104"/>
        <v>-1.6383112778609599E-3</v>
      </c>
    </row>
    <row r="1322" spans="1:17" ht="14.4" x14ac:dyDescent="0.3">
      <c r="A1322" s="63">
        <v>46146</v>
      </c>
      <c r="B1322" s="64">
        <v>22830.75</v>
      </c>
      <c r="C1322" s="47">
        <f t="shared" si="100"/>
        <v>6.4892840847221578E-3</v>
      </c>
      <c r="D1322" s="65">
        <v>572.77850243</v>
      </c>
      <c r="E1322" s="47">
        <f t="shared" si="101"/>
        <v>3.3440342438127768E-2</v>
      </c>
      <c r="H1322" s="65">
        <v>1281.4350796900001</v>
      </c>
      <c r="I1322" s="47">
        <f t="shared" si="102"/>
        <v>3.3112053108893313E-2</v>
      </c>
      <c r="L1322" s="65">
        <v>490.61881368000002</v>
      </c>
      <c r="M1322" s="47">
        <f t="shared" si="103"/>
        <v>2.5603511322885852E-2</v>
      </c>
      <c r="P1322" s="65">
        <v>394.74269108999999</v>
      </c>
      <c r="Q1322" s="47">
        <f t="shared" si="104"/>
        <v>5.5541529814366886E-3</v>
      </c>
    </row>
    <row r="1323" spans="1:17" ht="14.4" x14ac:dyDescent="0.3">
      <c r="A1323" s="63">
        <v>46147</v>
      </c>
      <c r="B1323" s="64">
        <v>22808.25</v>
      </c>
      <c r="C1323" s="47">
        <f t="shared" si="100"/>
        <v>-9.8551295949544926E-4</v>
      </c>
      <c r="D1323" s="65">
        <v>563.68442662999996</v>
      </c>
      <c r="E1323" s="47">
        <f t="shared" si="101"/>
        <v>-1.5877124859642322E-2</v>
      </c>
      <c r="H1323" s="65">
        <v>1250.5822261000001</v>
      </c>
      <c r="I1323" s="47">
        <f t="shared" si="102"/>
        <v>-2.4076798020437939E-2</v>
      </c>
      <c r="L1323" s="65">
        <v>483.81993874</v>
      </c>
      <c r="M1323" s="47">
        <f t="shared" si="103"/>
        <v>-1.3857754228794206E-2</v>
      </c>
      <c r="P1323" s="65">
        <v>412.48282207</v>
      </c>
      <c r="Q1323" s="47">
        <f t="shared" si="104"/>
        <v>4.4940999239312829E-2</v>
      </c>
    </row>
    <row r="1324" spans="1:17" ht="14.4" x14ac:dyDescent="0.3">
      <c r="A1324" s="63">
        <v>46148</v>
      </c>
      <c r="B1324" s="64">
        <v>23133.4</v>
      </c>
      <c r="C1324" s="47">
        <f t="shared" si="100"/>
        <v>1.4255806561222384E-2</v>
      </c>
      <c r="D1324" s="65">
        <v>580.63697009999998</v>
      </c>
      <c r="E1324" s="47">
        <f t="shared" si="101"/>
        <v>3.0074528706338644E-2</v>
      </c>
      <c r="H1324" s="65">
        <v>1270.1256735500001</v>
      </c>
      <c r="I1324" s="47">
        <f t="shared" si="102"/>
        <v>1.5627478979088893E-2</v>
      </c>
      <c r="L1324" s="65">
        <v>490.21887987000002</v>
      </c>
      <c r="M1324" s="47">
        <f t="shared" si="103"/>
        <v>1.3225873135085386E-2</v>
      </c>
      <c r="P1324" s="65">
        <v>414.41540617999999</v>
      </c>
      <c r="Q1324" s="47">
        <f t="shared" si="104"/>
        <v>4.6852474978267278E-3</v>
      </c>
    </row>
    <row r="1325" spans="1:17" ht="14.4" x14ac:dyDescent="0.3">
      <c r="A1325" s="63">
        <v>46149</v>
      </c>
      <c r="B1325" s="64">
        <v>23214</v>
      </c>
      <c r="C1325" s="47">
        <f t="shared" si="100"/>
        <v>3.4841398151590486E-3</v>
      </c>
      <c r="D1325" s="65">
        <v>605.39855693000004</v>
      </c>
      <c r="E1325" s="47">
        <f t="shared" si="101"/>
        <v>4.2645556699111742E-2</v>
      </c>
      <c r="H1325" s="65">
        <v>1287.58580934</v>
      </c>
      <c r="I1325" s="47">
        <f t="shared" si="102"/>
        <v>1.3746778097319057E-2</v>
      </c>
      <c r="L1325" s="65">
        <v>482.22020347</v>
      </c>
      <c r="M1325" s="47">
        <f t="shared" si="103"/>
        <v>-1.6316540893164255E-2</v>
      </c>
      <c r="P1325" s="65">
        <v>411.83862736999998</v>
      </c>
      <c r="Q1325" s="47">
        <f t="shared" si="104"/>
        <v>-6.2178644219631485E-3</v>
      </c>
    </row>
    <row r="1326" spans="1:17" ht="14.4" x14ac:dyDescent="0.3">
      <c r="A1326" s="63">
        <v>46150</v>
      </c>
      <c r="B1326" s="64">
        <v>23115.65</v>
      </c>
      <c r="C1326" s="47">
        <f t="shared" si="100"/>
        <v>-4.2366675282157207E-3</v>
      </c>
      <c r="D1326" s="65">
        <v>591.16435133000004</v>
      </c>
      <c r="E1326" s="47">
        <f t="shared" si="101"/>
        <v>-2.351212343845388E-2</v>
      </c>
      <c r="H1326" s="65">
        <v>1265.56222897</v>
      </c>
      <c r="I1326" s="47">
        <f t="shared" si="102"/>
        <v>-1.7104553506448683E-2</v>
      </c>
      <c r="L1326" s="65">
        <v>466.12286720999998</v>
      </c>
      <c r="M1326" s="47">
        <f t="shared" si="103"/>
        <v>-3.3381712637018279E-2</v>
      </c>
      <c r="P1326" s="65">
        <v>402.32436718000002</v>
      </c>
      <c r="Q1326" s="47">
        <f t="shared" si="104"/>
        <v>-2.3101913122520856E-2</v>
      </c>
    </row>
    <row r="1327" spans="1:17" ht="14.4" x14ac:dyDescent="0.3">
      <c r="A1327" s="63">
        <v>46153</v>
      </c>
      <c r="B1327" s="64">
        <v>22795.75</v>
      </c>
      <c r="C1327" s="47">
        <f t="shared" si="100"/>
        <v>-1.3839109001909988E-2</v>
      </c>
      <c r="D1327" s="65">
        <v>575.29914299999996</v>
      </c>
      <c r="E1327" s="47">
        <f t="shared" si="101"/>
        <v>-2.6837220976377529E-2</v>
      </c>
      <c r="H1327" s="65">
        <v>1252.07030586</v>
      </c>
      <c r="I1327" s="47">
        <f t="shared" si="102"/>
        <v>-1.0660813669337021E-2</v>
      </c>
      <c r="L1327" s="65">
        <v>451.57527450999999</v>
      </c>
      <c r="M1327" s="47">
        <f t="shared" si="103"/>
        <v>-3.1209781204417864E-2</v>
      </c>
      <c r="P1327" s="65">
        <v>394.19760327</v>
      </c>
      <c r="Q1327" s="47">
        <f t="shared" si="104"/>
        <v>-2.019953195219748E-2</v>
      </c>
    </row>
    <row r="1328" spans="1:17" ht="14.4" x14ac:dyDescent="0.3">
      <c r="A1328" s="63">
        <v>46154</v>
      </c>
      <c r="B1328" s="64">
        <v>22299.9</v>
      </c>
      <c r="C1328" s="47">
        <f t="shared" si="100"/>
        <v>-2.1751861640875947E-2</v>
      </c>
      <c r="D1328" s="65">
        <v>545.34800204999999</v>
      </c>
      <c r="E1328" s="47">
        <f t="shared" si="101"/>
        <v>-5.2061855670103019E-2</v>
      </c>
      <c r="H1328" s="65">
        <v>1222.80473734</v>
      </c>
      <c r="I1328" s="47">
        <f t="shared" si="102"/>
        <v>-2.3373742179676249E-2</v>
      </c>
      <c r="L1328" s="65">
        <v>435.97785553</v>
      </c>
      <c r="M1328" s="47">
        <f t="shared" si="103"/>
        <v>-3.4540019926743271E-2</v>
      </c>
      <c r="P1328" s="65">
        <v>382.10656426999998</v>
      </c>
      <c r="Q1328" s="47">
        <f t="shared" si="104"/>
        <v>-3.0672533013140768E-2</v>
      </c>
    </row>
    <row r="1329" spans="1:17" ht="14.4" x14ac:dyDescent="0.3">
      <c r="A1329" s="63">
        <v>46155</v>
      </c>
      <c r="B1329" s="64">
        <v>22377.35</v>
      </c>
      <c r="C1329" s="47">
        <f t="shared" si="100"/>
        <v>3.4731097448865711E-3</v>
      </c>
      <c r="D1329" s="65">
        <v>545.69397232999995</v>
      </c>
      <c r="E1329" s="47">
        <f t="shared" si="101"/>
        <v>6.344027642888328E-4</v>
      </c>
      <c r="H1329" s="65">
        <v>1219.23334593</v>
      </c>
      <c r="I1329" s="47">
        <f t="shared" si="102"/>
        <v>-2.9206555232758058E-3</v>
      </c>
      <c r="L1329" s="65">
        <v>451.47529105000001</v>
      </c>
      <c r="M1329" s="47">
        <f t="shared" si="103"/>
        <v>3.5546382283935918E-2</v>
      </c>
      <c r="P1329" s="65">
        <v>377.15122042000002</v>
      </c>
      <c r="Q1329" s="47">
        <f t="shared" si="104"/>
        <v>-1.2968486577735083E-2</v>
      </c>
    </row>
    <row r="1330" spans="1:17" ht="14.4" x14ac:dyDescent="0.3">
      <c r="A1330" s="63">
        <v>46156</v>
      </c>
      <c r="B1330" s="64">
        <v>22613.1</v>
      </c>
      <c r="C1330" s="47">
        <f t="shared" si="100"/>
        <v>1.0535206358214921E-2</v>
      </c>
      <c r="D1330" s="65">
        <v>549.45022102999997</v>
      </c>
      <c r="E1330" s="47">
        <f t="shared" si="101"/>
        <v>6.8834344714521212E-3</v>
      </c>
      <c r="H1330" s="65">
        <v>1216.85241832</v>
      </c>
      <c r="I1330" s="47">
        <f t="shared" si="102"/>
        <v>-1.9528071619333565E-3</v>
      </c>
      <c r="L1330" s="65">
        <v>457.77424872</v>
      </c>
      <c r="M1330" s="47">
        <f t="shared" si="103"/>
        <v>1.3951943317541238E-2</v>
      </c>
      <c r="P1330" s="65">
        <v>386.16994622999999</v>
      </c>
      <c r="Q1330" s="47">
        <f t="shared" si="104"/>
        <v>2.3912757858655764E-2</v>
      </c>
    </row>
    <row r="1331" spans="1:17" ht="14.4" x14ac:dyDescent="0.3">
      <c r="A1331" s="63">
        <v>46157</v>
      </c>
      <c r="B1331" s="64">
        <v>22531.15</v>
      </c>
      <c r="C1331" s="47">
        <f t="shared" si="100"/>
        <v>-3.624005554302423E-3</v>
      </c>
      <c r="D1331" s="65">
        <v>542.23426958000005</v>
      </c>
      <c r="E1331" s="47">
        <f t="shared" si="101"/>
        <v>-1.313303948895117E-2</v>
      </c>
      <c r="H1331" s="65">
        <v>1247.60606659</v>
      </c>
      <c r="I1331" s="47">
        <f t="shared" si="102"/>
        <v>2.5273112669208286E-2</v>
      </c>
      <c r="L1331" s="65">
        <v>460.12385991000002</v>
      </c>
      <c r="M1331" s="47">
        <f t="shared" si="103"/>
        <v>5.13268537181788E-3</v>
      </c>
      <c r="P1331" s="65">
        <v>389.58913348999999</v>
      </c>
      <c r="Q1331" s="47">
        <f t="shared" si="104"/>
        <v>8.8540998422583783E-3</v>
      </c>
    </row>
    <row r="1332" spans="1:17" ht="14.4" x14ac:dyDescent="0.3">
      <c r="A1332" s="63">
        <v>46160</v>
      </c>
      <c r="B1332" s="64">
        <v>22461.05</v>
      </c>
      <c r="C1332" s="47">
        <f t="shared" si="100"/>
        <v>-3.1112482052625401E-3</v>
      </c>
      <c r="D1332" s="65">
        <v>481.98601739999998</v>
      </c>
      <c r="E1332" s="47">
        <f t="shared" si="101"/>
        <v>-0.11111111111930772</v>
      </c>
      <c r="H1332" s="65">
        <v>1228.75705636</v>
      </c>
      <c r="I1332" s="47">
        <f t="shared" si="102"/>
        <v>-1.5108142493662879E-2</v>
      </c>
      <c r="L1332" s="65">
        <v>451.02536550999997</v>
      </c>
      <c r="M1332" s="47">
        <f t="shared" si="103"/>
        <v>-1.9774011288568483E-2</v>
      </c>
      <c r="P1332" s="65">
        <v>353.61333714</v>
      </c>
      <c r="Q1332" s="47">
        <f t="shared" si="104"/>
        <v>-9.2342915285452687E-2</v>
      </c>
    </row>
    <row r="1333" spans="1:17" ht="14.4" x14ac:dyDescent="0.3">
      <c r="A1333" s="63">
        <v>46161</v>
      </c>
      <c r="B1333" s="64">
        <v>22521.75</v>
      </c>
      <c r="C1333" s="47">
        <f t="shared" si="100"/>
        <v>2.7024560294377498E-3</v>
      </c>
      <c r="D1333" s="65">
        <v>463.99556310000003</v>
      </c>
      <c r="E1333" s="47">
        <f t="shared" si="101"/>
        <v>-3.7325676784249251E-2</v>
      </c>
      <c r="H1333" s="65">
        <v>1241.5545422600001</v>
      </c>
      <c r="I1333" s="47">
        <f t="shared" si="102"/>
        <v>1.041498466581392E-2</v>
      </c>
      <c r="L1333" s="65">
        <v>466.62278449000002</v>
      </c>
      <c r="M1333" s="47">
        <f t="shared" si="103"/>
        <v>3.458213256445819E-2</v>
      </c>
      <c r="P1333" s="65">
        <v>343.80175630999997</v>
      </c>
      <c r="Q1333" s="47">
        <f t="shared" si="104"/>
        <v>-2.7746636790782264E-2</v>
      </c>
    </row>
    <row r="1334" spans="1:17" ht="14.4" x14ac:dyDescent="0.3">
      <c r="A1334" s="63">
        <v>46162</v>
      </c>
      <c r="B1334" s="64">
        <v>22578.15</v>
      </c>
      <c r="C1334" s="47">
        <f t="shared" si="100"/>
        <v>2.5042458956343605E-3</v>
      </c>
      <c r="D1334" s="65">
        <v>466.26908205000001</v>
      </c>
      <c r="E1334" s="47">
        <f t="shared" si="101"/>
        <v>4.8998721772475218E-3</v>
      </c>
      <c r="H1334" s="65">
        <v>1233.5189115799999</v>
      </c>
      <c r="I1334" s="47">
        <f t="shared" si="102"/>
        <v>-6.4722333224064288E-3</v>
      </c>
      <c r="L1334" s="65">
        <v>464.07320637999999</v>
      </c>
      <c r="M1334" s="47">
        <f t="shared" si="103"/>
        <v>-5.4638954520547234E-3</v>
      </c>
      <c r="P1334" s="65">
        <v>339.54016059999998</v>
      </c>
      <c r="Q1334" s="47">
        <f t="shared" si="104"/>
        <v>-1.2395503024008381E-2</v>
      </c>
    </row>
    <row r="1335" spans="1:17" ht="14.4" x14ac:dyDescent="0.3">
      <c r="A1335" s="63">
        <v>46163</v>
      </c>
      <c r="B1335" s="64">
        <v>22602.85</v>
      </c>
      <c r="C1335" s="47">
        <f t="shared" si="100"/>
        <v>1.0939780274290545E-3</v>
      </c>
      <c r="D1335" s="65">
        <v>480.45386332999999</v>
      </c>
      <c r="E1335" s="47">
        <f t="shared" si="101"/>
        <v>3.0421878323210194E-2</v>
      </c>
      <c r="H1335" s="65">
        <v>1266.65348746</v>
      </c>
      <c r="I1335" s="47">
        <f t="shared" si="102"/>
        <v>2.6861830466432313E-2</v>
      </c>
      <c r="L1335" s="65">
        <v>459.32399227000002</v>
      </c>
      <c r="M1335" s="47">
        <f t="shared" si="103"/>
        <v>-1.0233760632392896E-2</v>
      </c>
      <c r="P1335" s="65">
        <v>337.06248868</v>
      </c>
      <c r="Q1335" s="47">
        <f t="shared" si="104"/>
        <v>-7.2971395066248057E-3</v>
      </c>
    </row>
    <row r="1336" spans="1:17" ht="14.4" x14ac:dyDescent="0.3">
      <c r="A1336" s="63">
        <v>46164</v>
      </c>
      <c r="B1336" s="64">
        <v>22651.3</v>
      </c>
      <c r="C1336" s="47">
        <f t="shared" si="100"/>
        <v>2.1435349966929529E-3</v>
      </c>
      <c r="D1336" s="65">
        <v>479.46537683000003</v>
      </c>
      <c r="E1336" s="47">
        <f t="shared" si="101"/>
        <v>-2.0574015018816061E-3</v>
      </c>
      <c r="H1336" s="65">
        <v>1257.4273929799999</v>
      </c>
      <c r="I1336" s="47">
        <f t="shared" si="102"/>
        <v>-7.2838345856537368E-3</v>
      </c>
      <c r="L1336" s="65">
        <v>459.97388473000001</v>
      </c>
      <c r="M1336" s="47">
        <f t="shared" si="103"/>
        <v>1.4148889910761131E-3</v>
      </c>
      <c r="P1336" s="65">
        <v>333.04866016</v>
      </c>
      <c r="Q1336" s="47">
        <f t="shared" si="104"/>
        <v>-1.1908262280145521E-2</v>
      </c>
    </row>
    <row r="1337" spans="1:17" ht="14.4" x14ac:dyDescent="0.3">
      <c r="A1337" s="63">
        <v>46167</v>
      </c>
      <c r="B1337" s="64">
        <v>22929.45</v>
      </c>
      <c r="C1337" s="47">
        <f t="shared" si="100"/>
        <v>1.2279648408700661E-2</v>
      </c>
      <c r="D1337" s="65">
        <v>501.70632308</v>
      </c>
      <c r="E1337" s="47">
        <f t="shared" si="101"/>
        <v>4.6386970414937334E-2</v>
      </c>
      <c r="H1337" s="65">
        <v>1262.88368541</v>
      </c>
      <c r="I1337" s="47">
        <f t="shared" si="102"/>
        <v>4.3392504891031081E-3</v>
      </c>
      <c r="L1337" s="65">
        <v>480.27052608999998</v>
      </c>
      <c r="M1337" s="47">
        <f t="shared" si="103"/>
        <v>4.4125638506442355E-2</v>
      </c>
      <c r="P1337" s="65">
        <v>335.08035114</v>
      </c>
      <c r="Q1337" s="47">
        <f t="shared" si="104"/>
        <v>6.1002827005036675E-3</v>
      </c>
    </row>
    <row r="1338" spans="1:17" ht="14.4" x14ac:dyDescent="0.3">
      <c r="A1338" s="63">
        <v>46168</v>
      </c>
      <c r="B1338" s="64">
        <v>22897.200000000001</v>
      </c>
      <c r="C1338" s="47">
        <f t="shared" si="100"/>
        <v>-1.4064881626031367E-3</v>
      </c>
      <c r="D1338" s="65">
        <v>493.35361215</v>
      </c>
      <c r="E1338" s="47">
        <f t="shared" si="101"/>
        <v>-1.6648606058465187E-2</v>
      </c>
      <c r="H1338" s="65">
        <v>1286.79216681</v>
      </c>
      <c r="I1338" s="47">
        <f t="shared" si="102"/>
        <v>1.893165750433945E-2</v>
      </c>
      <c r="L1338" s="65">
        <v>501.81696065</v>
      </c>
      <c r="M1338" s="47">
        <f t="shared" si="103"/>
        <v>4.4863120657048894E-2</v>
      </c>
      <c r="P1338" s="65">
        <v>332.65223264999997</v>
      </c>
      <c r="Q1338" s="47">
        <f t="shared" si="104"/>
        <v>-7.2463768219747093E-3</v>
      </c>
    </row>
    <row r="1339" spans="1:17" ht="14.4" x14ac:dyDescent="0.3">
      <c r="A1339" s="63">
        <v>46169</v>
      </c>
      <c r="B1339" s="64">
        <v>22967.4</v>
      </c>
      <c r="C1339" s="47">
        <f t="shared" si="100"/>
        <v>3.0658770504690125E-3</v>
      </c>
      <c r="D1339" s="65">
        <v>496.71446624999999</v>
      </c>
      <c r="E1339" s="47">
        <f t="shared" si="101"/>
        <v>6.812262071729025E-3</v>
      </c>
      <c r="H1339" s="65">
        <v>1264.2725598500001</v>
      </c>
      <c r="I1339" s="47">
        <f t="shared" si="102"/>
        <v>-1.7500578213672791E-2</v>
      </c>
      <c r="L1339" s="65">
        <v>516.71449543999995</v>
      </c>
      <c r="M1339" s="47">
        <f t="shared" si="103"/>
        <v>2.9687188672745002E-2</v>
      </c>
      <c r="P1339" s="65">
        <v>330.96741573999998</v>
      </c>
      <c r="Q1339" s="47">
        <f t="shared" si="104"/>
        <v>-5.0647996454984412E-3</v>
      </c>
    </row>
    <row r="1340" spans="1:17" ht="14.4" x14ac:dyDescent="0.3">
      <c r="A1340" s="63">
        <v>46171</v>
      </c>
      <c r="B1340" s="64">
        <v>22657</v>
      </c>
      <c r="C1340" s="47">
        <f t="shared" si="100"/>
        <v>-1.3514807945174567E-2</v>
      </c>
      <c r="D1340" s="65">
        <v>493.89727972999998</v>
      </c>
      <c r="E1340" s="47">
        <f t="shared" si="101"/>
        <v>-5.6716417809786757E-3</v>
      </c>
      <c r="H1340" s="65">
        <v>1294.6293868499999</v>
      </c>
      <c r="I1340" s="47">
        <f t="shared" si="102"/>
        <v>2.4011299433408295E-2</v>
      </c>
      <c r="L1340" s="65">
        <v>549.25911004</v>
      </c>
      <c r="M1340" s="47">
        <f t="shared" si="103"/>
        <v>6.2983746125192752E-2</v>
      </c>
      <c r="P1340" s="65">
        <v>311.64157473</v>
      </c>
      <c r="Q1340" s="47">
        <f t="shared" si="104"/>
        <v>-5.8391974831691229E-2</v>
      </c>
    </row>
    <row r="1341" spans="1:17" ht="14.4" x14ac:dyDescent="0.3">
      <c r="A1341" s="63">
        <v>46174</v>
      </c>
      <c r="B1341" s="64">
        <v>22437.95</v>
      </c>
      <c r="C1341" s="47">
        <f t="shared" si="100"/>
        <v>-9.6680937458621941E-3</v>
      </c>
      <c r="D1341" s="65">
        <v>492.266277</v>
      </c>
      <c r="E1341" s="47">
        <f t="shared" si="101"/>
        <v>-3.3023116282228093E-3</v>
      </c>
      <c r="H1341" s="65">
        <v>1291.4548167099999</v>
      </c>
      <c r="I1341" s="47">
        <f t="shared" si="102"/>
        <v>-2.4521072766038321E-3</v>
      </c>
      <c r="L1341" s="65">
        <v>547.25944093999999</v>
      </c>
      <c r="M1341" s="47">
        <f t="shared" si="103"/>
        <v>-3.6406662419388169E-3</v>
      </c>
      <c r="P1341" s="65">
        <v>312.48398318</v>
      </c>
      <c r="Q1341" s="47">
        <f t="shared" si="104"/>
        <v>2.703132439020095E-3</v>
      </c>
    </row>
    <row r="1342" spans="1:17" ht="14.4" x14ac:dyDescent="0.3">
      <c r="A1342" s="63">
        <v>46175</v>
      </c>
      <c r="B1342" s="64">
        <v>22521.1</v>
      </c>
      <c r="C1342" s="47">
        <f t="shared" si="100"/>
        <v>3.7057752602174254E-3</v>
      </c>
      <c r="D1342" s="65">
        <v>492.90879323000001</v>
      </c>
      <c r="E1342" s="47">
        <f t="shared" si="101"/>
        <v>1.305220893691228E-3</v>
      </c>
      <c r="H1342" s="65">
        <v>1280.5422318400001</v>
      </c>
      <c r="I1342" s="47">
        <f t="shared" si="102"/>
        <v>-8.4498386848714802E-3</v>
      </c>
      <c r="L1342" s="65">
        <v>572.30529641999999</v>
      </c>
      <c r="M1342" s="47">
        <f t="shared" si="103"/>
        <v>4.5765963282387689E-2</v>
      </c>
      <c r="P1342" s="65">
        <v>310.10541812999998</v>
      </c>
      <c r="Q1342" s="47">
        <f t="shared" si="104"/>
        <v>-7.6117982937701223E-3</v>
      </c>
    </row>
    <row r="1343" spans="1:17" ht="14.4" x14ac:dyDescent="0.3">
      <c r="A1343" s="63">
        <v>46176</v>
      </c>
      <c r="B1343" s="64">
        <v>22451.85</v>
      </c>
      <c r="C1343" s="47">
        <f t="shared" si="100"/>
        <v>-3.0748942103183685E-3</v>
      </c>
      <c r="D1343" s="65">
        <v>492.31570133000002</v>
      </c>
      <c r="E1343" s="47">
        <f t="shared" si="101"/>
        <v>-1.203248771671328E-3</v>
      </c>
      <c r="H1343" s="65">
        <v>1277.56607233</v>
      </c>
      <c r="I1343" s="47">
        <f t="shared" si="102"/>
        <v>-2.3241400681676128E-3</v>
      </c>
      <c r="L1343" s="65">
        <v>570.40561077999996</v>
      </c>
      <c r="M1343" s="47">
        <f t="shared" si="103"/>
        <v>-3.3193570842054987E-3</v>
      </c>
      <c r="P1343" s="65">
        <v>305.99248274000001</v>
      </c>
      <c r="Q1343" s="47">
        <f t="shared" si="104"/>
        <v>-1.3263023312529709E-2</v>
      </c>
    </row>
    <row r="1344" spans="1:17" ht="14.4" x14ac:dyDescent="0.3">
      <c r="A1344" s="63">
        <v>46177</v>
      </c>
      <c r="B1344" s="64">
        <v>22497.7</v>
      </c>
      <c r="C1344" s="47">
        <f t="shared" si="100"/>
        <v>2.0421479744432425E-3</v>
      </c>
      <c r="D1344" s="65">
        <v>500.56956359999998</v>
      </c>
      <c r="E1344" s="47">
        <f t="shared" si="101"/>
        <v>1.6765384991179522E-2</v>
      </c>
      <c r="H1344" s="65">
        <v>1280.9390530999999</v>
      </c>
      <c r="I1344" s="47">
        <f t="shared" si="102"/>
        <v>2.6401615094930886E-3</v>
      </c>
      <c r="L1344" s="65">
        <v>574.55492416000004</v>
      </c>
      <c r="M1344" s="47">
        <f t="shared" si="103"/>
        <v>7.2743207668068965E-3</v>
      </c>
      <c r="P1344" s="65">
        <v>301.03713888999999</v>
      </c>
      <c r="Q1344" s="47">
        <f t="shared" si="104"/>
        <v>-1.6194331983673371E-2</v>
      </c>
    </row>
    <row r="1345" spans="1:17" ht="14.4" x14ac:dyDescent="0.3">
      <c r="A1345" s="63">
        <v>46178</v>
      </c>
      <c r="B1345" s="64">
        <v>22465.35</v>
      </c>
      <c r="C1345" s="47">
        <f t="shared" si="100"/>
        <v>-1.4379247656428618E-3</v>
      </c>
      <c r="D1345" s="65">
        <v>491.37663915000002</v>
      </c>
      <c r="E1345" s="47">
        <f t="shared" si="101"/>
        <v>-1.836492890995256E-2</v>
      </c>
      <c r="H1345" s="65">
        <v>1280.04620525</v>
      </c>
      <c r="I1345" s="47">
        <f t="shared" si="102"/>
        <v>-6.9702601996490809E-4</v>
      </c>
      <c r="L1345" s="65">
        <v>556.50791053</v>
      </c>
      <c r="M1345" s="47">
        <f t="shared" si="103"/>
        <v>-3.1410423740401816E-2</v>
      </c>
      <c r="P1345" s="65">
        <v>308.71792185999999</v>
      </c>
      <c r="Q1345" s="47">
        <f t="shared" si="104"/>
        <v>2.551440330027388E-2</v>
      </c>
    </row>
    <row r="1346" spans="1:17" ht="14.4" x14ac:dyDescent="0.3">
      <c r="A1346" s="63">
        <v>46181</v>
      </c>
      <c r="B1346" s="64">
        <v>22173.7</v>
      </c>
      <c r="C1346" s="47">
        <f t="shared" si="100"/>
        <v>-1.2982214833065053E-2</v>
      </c>
      <c r="D1346" s="65">
        <v>477.43897950000002</v>
      </c>
      <c r="E1346" s="47">
        <f t="shared" si="101"/>
        <v>-2.836451418225705E-2</v>
      </c>
      <c r="H1346" s="65">
        <v>1256.83216107</v>
      </c>
      <c r="I1346" s="47">
        <f t="shared" si="102"/>
        <v>-1.8135317369630477E-2</v>
      </c>
      <c r="L1346" s="65">
        <v>533.86165797000001</v>
      </c>
      <c r="M1346" s="47">
        <f t="shared" si="103"/>
        <v>-4.0693496231585358E-2</v>
      </c>
      <c r="P1346" s="65">
        <v>303.66347113</v>
      </c>
      <c r="Q1346" s="47">
        <f t="shared" si="104"/>
        <v>-1.6372391662742958E-2</v>
      </c>
    </row>
    <row r="1347" spans="1:17" ht="14.4" x14ac:dyDescent="0.3">
      <c r="A1347" s="63">
        <v>46182</v>
      </c>
      <c r="B1347" s="64">
        <v>22370.15</v>
      </c>
      <c r="C1347" s="47">
        <f t="shared" si="100"/>
        <v>8.8595949255199091E-3</v>
      </c>
      <c r="D1347" s="65">
        <v>483.41932283</v>
      </c>
      <c r="E1347" s="47">
        <f t="shared" si="101"/>
        <v>1.2525879927656858E-2</v>
      </c>
      <c r="H1347" s="65">
        <v>1296.1174666100001</v>
      </c>
      <c r="I1347" s="47">
        <f t="shared" si="102"/>
        <v>3.1257399959080168E-2</v>
      </c>
      <c r="L1347" s="65">
        <v>544.45990419999998</v>
      </c>
      <c r="M1347" s="47">
        <f t="shared" si="103"/>
        <v>1.985204607182256E-2</v>
      </c>
      <c r="P1347" s="65">
        <v>309.51077686999997</v>
      </c>
      <c r="Q1347" s="47">
        <f t="shared" si="104"/>
        <v>1.9255874663622885E-2</v>
      </c>
    </row>
    <row r="1348" spans="1:17" ht="14.4" x14ac:dyDescent="0.3">
      <c r="A1348" s="63">
        <v>46183</v>
      </c>
      <c r="B1348" s="64">
        <v>22233.85</v>
      </c>
      <c r="C1348" s="47">
        <f t="shared" ref="C1348:C1411" si="105">B1348/B1347-1</f>
        <v>-6.0929408162216925E-3</v>
      </c>
      <c r="D1348" s="65">
        <v>489.05369588000002</v>
      </c>
      <c r="E1348" s="47">
        <f t="shared" ref="E1348:E1411" si="106">D1348/D1347-1</f>
        <v>1.1655249974319659E-2</v>
      </c>
      <c r="H1348" s="65">
        <v>1263.1813013599999</v>
      </c>
      <c r="I1348" s="47">
        <f t="shared" ref="I1348:I1411" si="107">H1348/H1347-1</f>
        <v>-2.5411404520413461E-2</v>
      </c>
      <c r="L1348" s="65">
        <v>534.91148424999994</v>
      </c>
      <c r="M1348" s="47">
        <f t="shared" ref="M1348:M1411" si="108">L1348/L1347-1</f>
        <v>-1.7537416210712475E-2</v>
      </c>
      <c r="P1348" s="65">
        <v>306.24024993</v>
      </c>
      <c r="Q1348" s="47">
        <f t="shared" ref="Q1348:Q1411" si="109">P1348/P1347-1</f>
        <v>-1.0566762724949164E-2</v>
      </c>
    </row>
    <row r="1349" spans="1:17" ht="14.4" x14ac:dyDescent="0.3">
      <c r="A1349" s="63">
        <v>46184</v>
      </c>
      <c r="B1349" s="64">
        <v>22114.45</v>
      </c>
      <c r="C1349" s="47">
        <f t="shared" si="105"/>
        <v>-5.3701900480572773E-3</v>
      </c>
      <c r="D1349" s="65">
        <v>482.57910930000003</v>
      </c>
      <c r="E1349" s="47">
        <f t="shared" si="106"/>
        <v>-1.3239009610896968E-2</v>
      </c>
      <c r="H1349" s="65">
        <v>1242.6458007399999</v>
      </c>
      <c r="I1349" s="47">
        <f t="shared" si="107"/>
        <v>-1.62569700785552E-2</v>
      </c>
      <c r="L1349" s="65">
        <v>520.71383363999996</v>
      </c>
      <c r="M1349" s="47">
        <f t="shared" si="108"/>
        <v>-2.654205607476634E-2</v>
      </c>
      <c r="P1349" s="65">
        <v>302.22642141</v>
      </c>
      <c r="Q1349" s="47">
        <f t="shared" si="109"/>
        <v>-1.3106796121402975E-2</v>
      </c>
    </row>
    <row r="1350" spans="1:17" ht="14.4" x14ac:dyDescent="0.3">
      <c r="A1350" s="63">
        <v>46185</v>
      </c>
      <c r="B1350" s="64">
        <v>22599.8</v>
      </c>
      <c r="C1350" s="47">
        <f t="shared" si="105"/>
        <v>2.1947188376830518E-2</v>
      </c>
      <c r="D1350" s="65">
        <v>498.64201493000002</v>
      </c>
      <c r="E1350" s="47">
        <f t="shared" si="106"/>
        <v>3.3285538724002972E-2</v>
      </c>
      <c r="H1350" s="65">
        <v>1291.2564060699999</v>
      </c>
      <c r="I1350" s="47">
        <f t="shared" si="107"/>
        <v>3.9118633242917866E-2</v>
      </c>
      <c r="L1350" s="65">
        <v>544.55988765999996</v>
      </c>
      <c r="M1350" s="47">
        <f t="shared" si="108"/>
        <v>4.5794930880377116E-2</v>
      </c>
      <c r="P1350" s="65">
        <v>308.17283402999999</v>
      </c>
      <c r="Q1350" s="47">
        <f t="shared" si="109"/>
        <v>1.9675356615936224E-2</v>
      </c>
    </row>
    <row r="1351" spans="1:17" ht="14.4" x14ac:dyDescent="0.3">
      <c r="A1351" s="63">
        <v>46188</v>
      </c>
      <c r="B1351" s="64">
        <v>22891.3</v>
      </c>
      <c r="C1351" s="47">
        <f t="shared" si="105"/>
        <v>1.289834423313474E-2</v>
      </c>
      <c r="D1351" s="65">
        <v>506.84645288000002</v>
      </c>
      <c r="E1351" s="47">
        <f t="shared" si="106"/>
        <v>1.6453563286582984E-2</v>
      </c>
      <c r="H1351" s="65">
        <v>1293.53812836</v>
      </c>
      <c r="I1351" s="47">
        <f t="shared" si="107"/>
        <v>1.7670559303899491E-3</v>
      </c>
      <c r="L1351" s="65">
        <v>549.60905214000002</v>
      </c>
      <c r="M1351" s="47">
        <f t="shared" si="108"/>
        <v>9.2720095519642776E-3</v>
      </c>
      <c r="P1351" s="65">
        <v>317.58798734999999</v>
      </c>
      <c r="Q1351" s="47">
        <f t="shared" si="109"/>
        <v>3.0551535633031923E-2</v>
      </c>
    </row>
    <row r="1352" spans="1:17" ht="14.4" x14ac:dyDescent="0.3">
      <c r="A1352" s="63">
        <v>46189</v>
      </c>
      <c r="B1352" s="64">
        <v>22997.25</v>
      </c>
      <c r="C1352" s="47">
        <f t="shared" si="105"/>
        <v>4.628395940815988E-3</v>
      </c>
      <c r="D1352" s="65">
        <v>521.67375038</v>
      </c>
      <c r="E1352" s="47">
        <f t="shared" si="106"/>
        <v>2.925402242779529E-2</v>
      </c>
      <c r="H1352" s="65">
        <v>1354.84701427</v>
      </c>
      <c r="I1352" s="47">
        <f t="shared" si="107"/>
        <v>4.7396272723502886E-2</v>
      </c>
      <c r="L1352" s="65">
        <v>554.10830761</v>
      </c>
      <c r="M1352" s="47">
        <f t="shared" si="108"/>
        <v>8.1862834181520849E-3</v>
      </c>
      <c r="P1352" s="65">
        <v>320.11521270999998</v>
      </c>
      <c r="Q1352" s="47">
        <f t="shared" si="109"/>
        <v>7.9575596705894203E-3</v>
      </c>
    </row>
    <row r="1353" spans="1:17" ht="14.4" x14ac:dyDescent="0.3">
      <c r="A1353" s="63">
        <v>46190</v>
      </c>
      <c r="B1353" s="64">
        <v>23109.7</v>
      </c>
      <c r="C1353" s="47">
        <f t="shared" si="105"/>
        <v>4.8897150746285423E-3</v>
      </c>
      <c r="D1353" s="65">
        <v>512.33255295000004</v>
      </c>
      <c r="E1353" s="47">
        <f t="shared" si="106"/>
        <v>-1.7906205599180769E-2</v>
      </c>
      <c r="H1353" s="65">
        <v>1358.41840568</v>
      </c>
      <c r="I1353" s="47">
        <f t="shared" si="107"/>
        <v>2.6360108354552825E-3</v>
      </c>
      <c r="L1353" s="65">
        <v>548.90916794999998</v>
      </c>
      <c r="M1353" s="47">
        <f t="shared" si="108"/>
        <v>-9.3828942619993416E-3</v>
      </c>
      <c r="P1353" s="65">
        <v>324.87234281000002</v>
      </c>
      <c r="Q1353" s="47">
        <f t="shared" si="109"/>
        <v>1.4860681127046638E-2</v>
      </c>
    </row>
    <row r="1354" spans="1:17" ht="14.4" x14ac:dyDescent="0.3">
      <c r="A1354" s="63">
        <v>46191</v>
      </c>
      <c r="B1354" s="64">
        <v>23206.45</v>
      </c>
      <c r="C1354" s="47">
        <f t="shared" si="105"/>
        <v>4.1865536982306217E-3</v>
      </c>
      <c r="D1354" s="65">
        <v>519.74620170000003</v>
      </c>
      <c r="E1354" s="47">
        <f t="shared" si="106"/>
        <v>1.4470383947520649E-2</v>
      </c>
      <c r="H1354" s="65">
        <v>1357.0295312400001</v>
      </c>
      <c r="I1354" s="47">
        <f t="shared" si="107"/>
        <v>-1.0224202161812634E-3</v>
      </c>
      <c r="L1354" s="65">
        <v>546.95949057999997</v>
      </c>
      <c r="M1354" s="47">
        <f t="shared" si="108"/>
        <v>-3.5519125637515359E-3</v>
      </c>
      <c r="P1354" s="65">
        <v>326.11117876999998</v>
      </c>
      <c r="Q1354" s="47">
        <f t="shared" si="109"/>
        <v>3.8133007854241896E-3</v>
      </c>
    </row>
    <row r="1355" spans="1:17" ht="14.4" x14ac:dyDescent="0.3">
      <c r="A1355" s="63">
        <v>46192</v>
      </c>
      <c r="B1355" s="64">
        <v>23144.2</v>
      </c>
      <c r="C1355" s="47">
        <f t="shared" si="105"/>
        <v>-2.6824438895221014E-3</v>
      </c>
      <c r="D1355" s="65">
        <v>535.21601542999997</v>
      </c>
      <c r="E1355" s="47">
        <f t="shared" si="106"/>
        <v>2.9764168895127785E-2</v>
      </c>
      <c r="H1355" s="65">
        <v>1387.58476888</v>
      </c>
      <c r="I1355" s="47">
        <f t="shared" si="107"/>
        <v>2.2516265811901359E-2</v>
      </c>
      <c r="L1355" s="65">
        <v>543.21011100999999</v>
      </c>
      <c r="M1355" s="47">
        <f t="shared" si="108"/>
        <v>-6.8549492870562112E-3</v>
      </c>
      <c r="P1355" s="65">
        <v>322.74154494999999</v>
      </c>
      <c r="Q1355" s="47">
        <f t="shared" si="109"/>
        <v>-1.0332776179919123E-2</v>
      </c>
    </row>
    <row r="1356" spans="1:17" ht="14.4" x14ac:dyDescent="0.3">
      <c r="A1356" s="63">
        <v>46195</v>
      </c>
      <c r="B1356" s="64">
        <v>23261.85</v>
      </c>
      <c r="C1356" s="47">
        <f t="shared" si="105"/>
        <v>5.083347015666817E-3</v>
      </c>
      <c r="D1356" s="65">
        <v>538.92283980000002</v>
      </c>
      <c r="E1356" s="47">
        <f t="shared" si="106"/>
        <v>6.925847252575057E-3</v>
      </c>
      <c r="H1356" s="65">
        <v>1428.25894885</v>
      </c>
      <c r="I1356" s="47">
        <f t="shared" si="107"/>
        <v>2.9312933438171429E-2</v>
      </c>
      <c r="L1356" s="65">
        <v>548.05930857999999</v>
      </c>
      <c r="M1356" s="47">
        <f t="shared" si="108"/>
        <v>8.9269280370791737E-3</v>
      </c>
      <c r="P1356" s="65">
        <v>327.30046128999999</v>
      </c>
      <c r="Q1356" s="47">
        <f t="shared" si="109"/>
        <v>1.4125594957743237E-2</v>
      </c>
    </row>
    <row r="1357" spans="1:17" ht="14.4" x14ac:dyDescent="0.3">
      <c r="A1357" s="63">
        <v>46196</v>
      </c>
      <c r="B1357" s="64">
        <v>23010.95</v>
      </c>
      <c r="C1357" s="47">
        <f t="shared" si="105"/>
        <v>-1.0785900519520109E-2</v>
      </c>
      <c r="D1357" s="65">
        <v>536.00680463000003</v>
      </c>
      <c r="E1357" s="47">
        <f t="shared" si="106"/>
        <v>-5.4108583913091701E-3</v>
      </c>
      <c r="H1357" s="65">
        <v>1428.15974353</v>
      </c>
      <c r="I1357" s="47">
        <f t="shared" si="107"/>
        <v>-6.9458917152154243E-5</v>
      </c>
      <c r="L1357" s="65">
        <v>546.30959812000003</v>
      </c>
      <c r="M1357" s="47">
        <f t="shared" si="108"/>
        <v>-3.1925567773557484E-3</v>
      </c>
      <c r="P1357" s="65">
        <v>320.31342646000002</v>
      </c>
      <c r="Q1357" s="47">
        <f t="shared" si="109"/>
        <v>-2.1347464047138054E-2</v>
      </c>
    </row>
    <row r="1358" spans="1:17" ht="14.4" x14ac:dyDescent="0.3">
      <c r="A1358" s="63">
        <v>46197</v>
      </c>
      <c r="B1358" s="64">
        <v>23126.3</v>
      </c>
      <c r="C1358" s="47">
        <f t="shared" si="105"/>
        <v>5.0128308479222561E-3</v>
      </c>
      <c r="D1358" s="65">
        <v>525.03460447999998</v>
      </c>
      <c r="E1358" s="47">
        <f t="shared" si="106"/>
        <v>-2.0470262793723437E-2</v>
      </c>
      <c r="H1358" s="65">
        <v>1387.08874229</v>
      </c>
      <c r="I1358" s="47">
        <f t="shared" si="107"/>
        <v>-2.8757988331532314E-2</v>
      </c>
      <c r="L1358" s="65">
        <v>538.86083071999997</v>
      </c>
      <c r="M1358" s="47">
        <f t="shared" si="108"/>
        <v>-1.3634699858163346E-2</v>
      </c>
      <c r="P1358" s="65">
        <v>321.84958305999999</v>
      </c>
      <c r="Q1358" s="47">
        <f t="shared" si="109"/>
        <v>4.7957920995602699E-3</v>
      </c>
    </row>
    <row r="1359" spans="1:17" ht="14.4" x14ac:dyDescent="0.3">
      <c r="A1359" s="63">
        <v>46198</v>
      </c>
      <c r="B1359" s="64">
        <v>23113.7</v>
      </c>
      <c r="C1359" s="47">
        <f t="shared" si="105"/>
        <v>-5.4483423634554828E-4</v>
      </c>
      <c r="D1359" s="65">
        <v>522.06914498000003</v>
      </c>
      <c r="E1359" s="47">
        <f t="shared" si="106"/>
        <v>-5.6481219993813614E-3</v>
      </c>
      <c r="H1359" s="65">
        <v>1373.1999979100001</v>
      </c>
      <c r="I1359" s="47">
        <f t="shared" si="107"/>
        <v>-1.0012873694779212E-2</v>
      </c>
      <c r="L1359" s="65">
        <v>533.06179033000001</v>
      </c>
      <c r="M1359" s="47">
        <f t="shared" si="108"/>
        <v>-1.0761666202851572E-2</v>
      </c>
      <c r="P1359" s="65">
        <v>319.47101801000002</v>
      </c>
      <c r="Q1359" s="47">
        <f t="shared" si="109"/>
        <v>-7.3903002371034088E-3</v>
      </c>
    </row>
    <row r="1360" spans="1:17" ht="14.4" x14ac:dyDescent="0.3">
      <c r="A1360" s="63">
        <v>46202</v>
      </c>
      <c r="B1360" s="64">
        <v>23000</v>
      </c>
      <c r="C1360" s="47">
        <f t="shared" si="105"/>
        <v>-4.9191604978865433E-3</v>
      </c>
      <c r="D1360" s="65">
        <v>509.46594210000001</v>
      </c>
      <c r="E1360" s="47">
        <f t="shared" si="106"/>
        <v>-2.4140869080632732E-2</v>
      </c>
      <c r="H1360" s="65">
        <v>1346.1</v>
      </c>
      <c r="I1360" s="47">
        <f t="shared" si="107"/>
        <v>-1.9734924228987927E-2</v>
      </c>
      <c r="L1360" s="65">
        <v>528.46255140000005</v>
      </c>
      <c r="M1360" s="47">
        <f t="shared" si="108"/>
        <v>-8.6279658633058309E-3</v>
      </c>
      <c r="P1360" s="65">
        <v>314.26790697000001</v>
      </c>
      <c r="Q1360" s="47">
        <f t="shared" si="109"/>
        <v>-1.628664494328913E-2</v>
      </c>
    </row>
    <row r="1361" spans="1:17" ht="14.4" x14ac:dyDescent="0.3">
      <c r="A1361" s="63">
        <v>46203</v>
      </c>
      <c r="B1361" s="64">
        <v>22995.65</v>
      </c>
      <c r="C1361" s="47">
        <f t="shared" si="105"/>
        <v>-1.8913043478252511E-4</v>
      </c>
      <c r="D1361" s="65">
        <v>515.49570974999995</v>
      </c>
      <c r="E1361" s="47">
        <f t="shared" si="106"/>
        <v>1.183546759798193E-2</v>
      </c>
      <c r="H1361" s="65">
        <v>1370.1</v>
      </c>
      <c r="I1361" s="47">
        <f t="shared" si="107"/>
        <v>1.7829284599955475E-2</v>
      </c>
      <c r="L1361" s="65">
        <v>532.56187306000004</v>
      </c>
      <c r="M1361" s="47">
        <f t="shared" si="108"/>
        <v>7.7570712421155541E-3</v>
      </c>
      <c r="P1361" s="65">
        <v>316.64647201999998</v>
      </c>
      <c r="Q1361" s="47">
        <f t="shared" si="109"/>
        <v>7.5685903563389445E-3</v>
      </c>
    </row>
    <row r="1362" spans="1:17" ht="14.4" x14ac:dyDescent="0.3">
      <c r="A1362" s="63">
        <v>46204</v>
      </c>
      <c r="B1362" s="64">
        <v>23111.65</v>
      </c>
      <c r="C1362" s="47">
        <f t="shared" si="105"/>
        <v>5.0444323165468319E-3</v>
      </c>
      <c r="D1362" s="65">
        <v>515.44628542999999</v>
      </c>
      <c r="E1362" s="47">
        <f t="shared" si="106"/>
        <v>-9.5877267385802156E-5</v>
      </c>
      <c r="H1362" s="65">
        <v>1355.7</v>
      </c>
      <c r="I1362" s="47">
        <f t="shared" si="107"/>
        <v>-1.051018173855911E-2</v>
      </c>
      <c r="L1362" s="65">
        <v>557.30777817000001</v>
      </c>
      <c r="M1362" s="47">
        <f t="shared" si="108"/>
        <v>4.6465784281204181E-2</v>
      </c>
      <c r="P1362" s="65">
        <v>316.94379264999998</v>
      </c>
      <c r="Q1362" s="47">
        <f t="shared" si="109"/>
        <v>9.3896713297736412E-4</v>
      </c>
    </row>
    <row r="1363" spans="1:17" ht="14.4" x14ac:dyDescent="0.3">
      <c r="A1363" s="63">
        <v>46205</v>
      </c>
      <c r="B1363" s="64">
        <v>23264.799999999999</v>
      </c>
      <c r="C1363" s="47">
        <f t="shared" si="105"/>
        <v>6.6265281795110376E-3</v>
      </c>
      <c r="D1363" s="65">
        <v>509.36709345000003</v>
      </c>
      <c r="E1363" s="47">
        <f t="shared" si="106"/>
        <v>-1.1794035871125819E-2</v>
      </c>
      <c r="H1363" s="65">
        <v>1370.2</v>
      </c>
      <c r="I1363" s="47">
        <f t="shared" si="107"/>
        <v>1.0695581618352046E-2</v>
      </c>
      <c r="L1363" s="65">
        <v>565.95634702999996</v>
      </c>
      <c r="M1363" s="47">
        <f t="shared" si="108"/>
        <v>1.551847865536482E-2</v>
      </c>
      <c r="P1363" s="65">
        <v>327.25090784999998</v>
      </c>
      <c r="Q1363" s="47">
        <f t="shared" si="109"/>
        <v>3.2520325177600506E-2</v>
      </c>
    </row>
    <row r="1364" spans="1:17" ht="14.4" x14ac:dyDescent="0.3">
      <c r="A1364" s="63">
        <v>46206</v>
      </c>
      <c r="B1364" s="64">
        <v>23301.15</v>
      </c>
      <c r="C1364" s="47">
        <f t="shared" si="105"/>
        <v>1.5624462707610753E-3</v>
      </c>
      <c r="D1364" s="65">
        <v>505.1166015</v>
      </c>
      <c r="E1364" s="47">
        <f t="shared" si="106"/>
        <v>-8.3446535998448201E-3</v>
      </c>
      <c r="H1364" s="65">
        <v>1384</v>
      </c>
      <c r="I1364" s="47">
        <f t="shared" si="107"/>
        <v>1.0071522405488142E-2</v>
      </c>
      <c r="L1364" s="65">
        <v>574.85487451999995</v>
      </c>
      <c r="M1364" s="47">
        <f t="shared" si="108"/>
        <v>1.5722992659588098E-2</v>
      </c>
      <c r="P1364" s="65">
        <v>326.01207189000002</v>
      </c>
      <c r="Q1364" s="47">
        <f t="shared" si="109"/>
        <v>-3.7855844866526711E-3</v>
      </c>
    </row>
    <row r="1365" spans="1:17" ht="14.4" x14ac:dyDescent="0.3">
      <c r="A1365" s="63">
        <v>46209</v>
      </c>
      <c r="B1365" s="64">
        <v>23433.95</v>
      </c>
      <c r="C1365" s="47">
        <f t="shared" si="105"/>
        <v>5.6992895200451699E-3</v>
      </c>
      <c r="D1365" s="65">
        <v>499.58107710000002</v>
      </c>
      <c r="E1365" s="47">
        <f t="shared" si="106"/>
        <v>-1.0958904109588996E-2</v>
      </c>
      <c r="H1365" s="65">
        <v>1380.4</v>
      </c>
      <c r="I1365" s="47">
        <f t="shared" si="107"/>
        <v>-2.6011560693640634E-3</v>
      </c>
      <c r="L1365" s="65">
        <v>561.45709154999997</v>
      </c>
      <c r="M1365" s="47">
        <f t="shared" si="108"/>
        <v>-2.3306374467446322E-2</v>
      </c>
      <c r="P1365" s="65">
        <v>323.08841902</v>
      </c>
      <c r="Q1365" s="47">
        <f t="shared" si="109"/>
        <v>-8.9679282520142012E-3</v>
      </c>
    </row>
    <row r="1366" spans="1:17" ht="14.4" x14ac:dyDescent="0.3">
      <c r="A1366" s="63">
        <v>46210</v>
      </c>
      <c r="B1366" s="64">
        <v>23368.85</v>
      </c>
      <c r="C1366" s="47">
        <f t="shared" si="105"/>
        <v>-2.7780207775471855E-3</v>
      </c>
      <c r="D1366" s="65">
        <v>492.66167159999998</v>
      </c>
      <c r="E1366" s="47">
        <f t="shared" si="106"/>
        <v>-1.3850415512465464E-2</v>
      </c>
      <c r="H1366" s="65">
        <v>1352.9</v>
      </c>
      <c r="I1366" s="47">
        <f t="shared" si="107"/>
        <v>-1.9921761808171512E-2</v>
      </c>
      <c r="L1366" s="65">
        <v>553.65838206000001</v>
      </c>
      <c r="M1366" s="47">
        <f t="shared" si="108"/>
        <v>-1.3890125545427345E-2</v>
      </c>
      <c r="P1366" s="65">
        <v>327.74644224000002</v>
      </c>
      <c r="Q1366" s="47">
        <f t="shared" si="109"/>
        <v>1.4417177917205537E-2</v>
      </c>
    </row>
    <row r="1367" spans="1:17" ht="14.4" x14ac:dyDescent="0.3">
      <c r="A1367" s="63">
        <v>46211</v>
      </c>
      <c r="B1367" s="64">
        <v>22908.05</v>
      </c>
      <c r="C1367" s="47">
        <f t="shared" si="105"/>
        <v>-1.9718556967929457E-2</v>
      </c>
      <c r="D1367" s="65">
        <v>481.34350117999998</v>
      </c>
      <c r="E1367" s="47">
        <f t="shared" si="106"/>
        <v>-2.2973515238647213E-2</v>
      </c>
      <c r="H1367" s="65">
        <v>1332.4</v>
      </c>
      <c r="I1367" s="47">
        <f t="shared" si="107"/>
        <v>-1.515263508019804E-2</v>
      </c>
      <c r="L1367" s="65">
        <v>532.51188133000005</v>
      </c>
      <c r="M1367" s="47">
        <f t="shared" si="108"/>
        <v>-3.8194130921164859E-2</v>
      </c>
      <c r="P1367" s="65">
        <v>318.08352172999997</v>
      </c>
      <c r="Q1367" s="47">
        <f t="shared" si="109"/>
        <v>-2.9482915036264989E-2</v>
      </c>
    </row>
    <row r="1368" spans="1:17" ht="14.4" x14ac:dyDescent="0.3">
      <c r="A1368" s="63">
        <v>46212</v>
      </c>
      <c r="B1368" s="64">
        <v>23081.15</v>
      </c>
      <c r="C1368" s="47">
        <f t="shared" si="105"/>
        <v>7.5562957126424912E-3</v>
      </c>
      <c r="D1368" s="65">
        <v>489.54793912999997</v>
      </c>
      <c r="E1368" s="47">
        <f t="shared" si="106"/>
        <v>1.7044871136489892E-2</v>
      </c>
      <c r="H1368" s="65">
        <v>1349.9</v>
      </c>
      <c r="I1368" s="47">
        <f t="shared" si="107"/>
        <v>1.313419393575499E-2</v>
      </c>
      <c r="L1368" s="65">
        <v>547.95932513000002</v>
      </c>
      <c r="M1368" s="47">
        <f t="shared" si="108"/>
        <v>2.9008636880398786E-2</v>
      </c>
      <c r="P1368" s="65">
        <v>323.83172059999998</v>
      </c>
      <c r="Q1368" s="47">
        <f t="shared" si="109"/>
        <v>1.8071350690336274E-2</v>
      </c>
    </row>
    <row r="1369" spans="1:17" ht="14.4" x14ac:dyDescent="0.3">
      <c r="A1369" s="63">
        <v>46213</v>
      </c>
      <c r="B1369" s="64">
        <v>23348.400000000001</v>
      </c>
      <c r="C1369" s="47">
        <f t="shared" si="105"/>
        <v>1.1578712499160648E-2</v>
      </c>
      <c r="D1369" s="65">
        <v>499.03740952999999</v>
      </c>
      <c r="E1369" s="47">
        <f t="shared" si="106"/>
        <v>1.9384149419287233E-2</v>
      </c>
      <c r="H1369" s="65">
        <v>1352</v>
      </c>
      <c r="I1369" s="47">
        <f t="shared" si="107"/>
        <v>1.5556707904289535E-3</v>
      </c>
      <c r="L1369" s="65">
        <v>546.40958157</v>
      </c>
      <c r="M1369" s="47">
        <f t="shared" si="108"/>
        <v>-2.8282091186829783E-3</v>
      </c>
      <c r="P1369" s="65">
        <v>328.14286974999999</v>
      </c>
      <c r="Q1369" s="47">
        <f t="shared" si="109"/>
        <v>1.3312930376345511E-2</v>
      </c>
    </row>
    <row r="1370" spans="1:17" ht="14.4" x14ac:dyDescent="0.3">
      <c r="A1370" s="63">
        <v>46216</v>
      </c>
      <c r="B1370" s="64">
        <v>23347.05</v>
      </c>
      <c r="C1370" s="47">
        <f t="shared" si="105"/>
        <v>-5.7819807781300803E-5</v>
      </c>
      <c r="D1370" s="65">
        <v>490.14103103000002</v>
      </c>
      <c r="E1370" s="47">
        <f t="shared" si="106"/>
        <v>-1.7827077349529152E-2</v>
      </c>
      <c r="H1370" s="65">
        <v>1341.7</v>
      </c>
      <c r="I1370" s="47">
        <f t="shared" si="107"/>
        <v>-7.6183431952662195E-3</v>
      </c>
      <c r="L1370" s="65">
        <v>555.90800979999995</v>
      </c>
      <c r="M1370" s="47">
        <f t="shared" si="108"/>
        <v>1.7383348591194281E-2</v>
      </c>
      <c r="P1370" s="65">
        <v>333.54419453999998</v>
      </c>
      <c r="Q1370" s="47">
        <f t="shared" si="109"/>
        <v>1.6460283882185456E-2</v>
      </c>
    </row>
    <row r="1371" spans="1:17" ht="14.4" x14ac:dyDescent="0.3">
      <c r="A1371" s="63">
        <v>46217</v>
      </c>
      <c r="B1371" s="64">
        <v>23199.45</v>
      </c>
      <c r="C1371" s="47">
        <f t="shared" si="105"/>
        <v>-6.3219978541185773E-3</v>
      </c>
      <c r="D1371" s="65">
        <v>484.25953635000002</v>
      </c>
      <c r="E1371" s="47">
        <f t="shared" si="106"/>
        <v>-1.1999596662292111E-2</v>
      </c>
      <c r="H1371" s="65">
        <v>1299.2</v>
      </c>
      <c r="I1371" s="47">
        <f t="shared" si="107"/>
        <v>-3.1676231646418751E-2</v>
      </c>
      <c r="L1371" s="65">
        <v>552.15863023999998</v>
      </c>
      <c r="M1371" s="47">
        <f t="shared" si="108"/>
        <v>-6.7446043120495958E-3</v>
      </c>
      <c r="P1371" s="65">
        <v>326.01207189000002</v>
      </c>
      <c r="Q1371" s="47">
        <f t="shared" si="109"/>
        <v>-2.2582082894255451E-2</v>
      </c>
    </row>
    <row r="1372" spans="1:17" ht="14.4" x14ac:dyDescent="0.3">
      <c r="A1372" s="63">
        <v>46218</v>
      </c>
      <c r="B1372" s="64">
        <v>23263.9</v>
      </c>
      <c r="C1372" s="47">
        <f t="shared" si="105"/>
        <v>2.7780831011079421E-3</v>
      </c>
      <c r="D1372" s="65">
        <v>501.65689874999998</v>
      </c>
      <c r="E1372" s="47">
        <f t="shared" si="106"/>
        <v>3.5925699122269839E-2</v>
      </c>
      <c r="H1372" s="65">
        <v>1297.9000000000001</v>
      </c>
      <c r="I1372" s="47">
        <f t="shared" si="107"/>
        <v>-1.0006157635467083E-3</v>
      </c>
      <c r="L1372" s="65">
        <v>545.05980493000004</v>
      </c>
      <c r="M1372" s="47">
        <f t="shared" si="108"/>
        <v>-1.2856496161102071E-2</v>
      </c>
      <c r="P1372" s="65">
        <v>327.10224754000001</v>
      </c>
      <c r="Q1372" s="47">
        <f t="shared" si="109"/>
        <v>3.3439732574314096E-3</v>
      </c>
    </row>
    <row r="1373" spans="1:17" ht="14.4" x14ac:dyDescent="0.3">
      <c r="A1373" s="63">
        <v>46219</v>
      </c>
      <c r="B1373" s="64">
        <v>23232.65</v>
      </c>
      <c r="C1373" s="47">
        <f t="shared" si="105"/>
        <v>-1.3432829405215507E-3</v>
      </c>
      <c r="D1373" s="65">
        <v>492.41454998</v>
      </c>
      <c r="E1373" s="47">
        <f t="shared" si="106"/>
        <v>-1.8423645310229997E-2</v>
      </c>
      <c r="H1373" s="65">
        <v>1320.1</v>
      </c>
      <c r="I1373" s="47">
        <f t="shared" si="107"/>
        <v>1.7104553509515119E-2</v>
      </c>
      <c r="L1373" s="65">
        <v>557.95767063000005</v>
      </c>
      <c r="M1373" s="47">
        <f t="shared" si="108"/>
        <v>2.3663211969292774E-2</v>
      </c>
      <c r="P1373" s="65">
        <v>332.89999984000002</v>
      </c>
      <c r="Q1373" s="47">
        <f t="shared" si="109"/>
        <v>1.7724587169921646E-2</v>
      </c>
    </row>
    <row r="1374" spans="1:17" ht="14.4" x14ac:dyDescent="0.3">
      <c r="A1374" s="63">
        <v>46220</v>
      </c>
      <c r="B1374" s="64">
        <v>23336.3</v>
      </c>
      <c r="C1374" s="47">
        <f t="shared" si="105"/>
        <v>4.4613937712658647E-3</v>
      </c>
      <c r="D1374" s="65">
        <v>489.69621210000003</v>
      </c>
      <c r="E1374" s="47">
        <f t="shared" si="106"/>
        <v>-5.5204255847240979E-3</v>
      </c>
      <c r="H1374" s="65">
        <v>1310</v>
      </c>
      <c r="I1374" s="47">
        <f t="shared" si="107"/>
        <v>-7.6509355351866981E-3</v>
      </c>
      <c r="L1374" s="65">
        <v>538.71085554000001</v>
      </c>
      <c r="M1374" s="47">
        <f t="shared" si="108"/>
        <v>-3.4495116929332825E-2</v>
      </c>
      <c r="P1374" s="65">
        <v>331.45</v>
      </c>
      <c r="Q1374" s="47">
        <f t="shared" si="109"/>
        <v>-4.3556618825381088E-3</v>
      </c>
    </row>
    <row r="1375" spans="1:17" ht="14.4" x14ac:dyDescent="0.3">
      <c r="A1375" s="63">
        <v>46223</v>
      </c>
      <c r="B1375" s="64">
        <v>23338.05</v>
      </c>
      <c r="C1375" s="47">
        <f t="shared" si="105"/>
        <v>7.4990465497970504E-5</v>
      </c>
      <c r="D1375" s="65">
        <v>482.13429037999998</v>
      </c>
      <c r="E1375" s="47">
        <f t="shared" si="106"/>
        <v>-1.5442067006341986E-2</v>
      </c>
      <c r="H1375" s="65">
        <v>1323.4</v>
      </c>
      <c r="I1375" s="47">
        <f t="shared" si="107"/>
        <v>1.0229007633587806E-2</v>
      </c>
      <c r="L1375" s="65">
        <v>544.80984629</v>
      </c>
      <c r="M1375" s="47">
        <f t="shared" si="108"/>
        <v>1.132145507609339E-2</v>
      </c>
      <c r="P1375" s="65">
        <v>334.25</v>
      </c>
      <c r="Q1375" s="47">
        <f t="shared" si="109"/>
        <v>8.4477296726506168E-3</v>
      </c>
    </row>
    <row r="1376" spans="1:17" ht="14.4" x14ac:dyDescent="0.3">
      <c r="A1376" s="63">
        <v>46224</v>
      </c>
      <c r="B1376" s="64">
        <v>23352.15</v>
      </c>
      <c r="C1376" s="47">
        <f t="shared" si="105"/>
        <v>6.0416358693227146E-4</v>
      </c>
      <c r="D1376" s="65">
        <v>485.1491742</v>
      </c>
      <c r="E1376" s="47">
        <f t="shared" si="106"/>
        <v>6.2532034749567256E-3</v>
      </c>
      <c r="H1376" s="65">
        <v>1341.7</v>
      </c>
      <c r="I1376" s="47">
        <f t="shared" si="107"/>
        <v>1.3828018739610037E-2</v>
      </c>
      <c r="L1376" s="65">
        <v>545.65970565999999</v>
      </c>
      <c r="M1376" s="47">
        <f t="shared" si="108"/>
        <v>1.5599192558417574E-3</v>
      </c>
      <c r="P1376" s="65">
        <v>333.15</v>
      </c>
      <c r="Q1376" s="47">
        <f t="shared" si="109"/>
        <v>-3.2909498878086474E-3</v>
      </c>
    </row>
    <row r="1377" spans="1:17" ht="14.4" x14ac:dyDescent="0.3">
      <c r="A1377" s="63">
        <v>46225</v>
      </c>
      <c r="B1377" s="64">
        <v>23145.05</v>
      </c>
      <c r="C1377" s="47">
        <f t="shared" si="105"/>
        <v>-8.8685624235884664E-3</v>
      </c>
      <c r="D1377" s="65">
        <v>474.07812539999998</v>
      </c>
      <c r="E1377" s="47">
        <f t="shared" si="106"/>
        <v>-2.2819885900570602E-2</v>
      </c>
      <c r="H1377" s="65">
        <v>1320</v>
      </c>
      <c r="I1377" s="47">
        <f t="shared" si="107"/>
        <v>-1.6173511217112635E-2</v>
      </c>
      <c r="L1377" s="65">
        <v>530.16227014000003</v>
      </c>
      <c r="M1377" s="47">
        <f t="shared" si="108"/>
        <v>-2.8401282629537561E-2</v>
      </c>
      <c r="P1377" s="65">
        <v>330.15</v>
      </c>
      <c r="Q1377" s="47">
        <f t="shared" si="109"/>
        <v>-9.0049527239981497E-3</v>
      </c>
    </row>
    <row r="1378" spans="1:17" ht="14.4" x14ac:dyDescent="0.3">
      <c r="A1378" s="63">
        <v>46226</v>
      </c>
      <c r="B1378" s="64">
        <v>22982.400000000001</v>
      </c>
      <c r="C1378" s="47">
        <f t="shared" si="105"/>
        <v>-7.0274205499663012E-3</v>
      </c>
      <c r="D1378" s="65">
        <v>467.50469018000001</v>
      </c>
      <c r="E1378" s="47">
        <f t="shared" si="106"/>
        <v>-1.3865721423981903E-2</v>
      </c>
      <c r="H1378" s="65">
        <v>1297.9000000000001</v>
      </c>
      <c r="I1378" s="47">
        <f t="shared" si="107"/>
        <v>-1.6742424242424225E-2</v>
      </c>
      <c r="L1378" s="65">
        <v>528.86248522000005</v>
      </c>
      <c r="M1378" s="47">
        <f t="shared" si="108"/>
        <v>-2.4516737482219719E-3</v>
      </c>
      <c r="P1378" s="65">
        <v>326.2</v>
      </c>
      <c r="Q1378" s="47">
        <f t="shared" si="109"/>
        <v>-1.1964258670301375E-2</v>
      </c>
    </row>
    <row r="1379" spans="1:17" ht="14.4" x14ac:dyDescent="0.3">
      <c r="A1379" s="63">
        <v>46227</v>
      </c>
      <c r="B1379" s="64">
        <v>22913.3</v>
      </c>
      <c r="C1379" s="47">
        <f t="shared" si="105"/>
        <v>-3.0066485658591935E-3</v>
      </c>
      <c r="D1379" s="65">
        <v>464.48980634999998</v>
      </c>
      <c r="E1379" s="47">
        <f t="shared" si="106"/>
        <v>-6.4488846707382308E-3</v>
      </c>
      <c r="H1379" s="65">
        <v>1299.9000000000001</v>
      </c>
      <c r="I1379" s="47">
        <f t="shared" si="107"/>
        <v>1.5409507666230837E-3</v>
      </c>
      <c r="L1379" s="65">
        <v>528.56253486000003</v>
      </c>
      <c r="M1379" s="47">
        <f t="shared" si="108"/>
        <v>-5.6716134795464779E-4</v>
      </c>
      <c r="P1379" s="65">
        <v>328.9</v>
      </c>
      <c r="Q1379" s="47">
        <f t="shared" si="109"/>
        <v>8.2771305947271223E-3</v>
      </c>
    </row>
    <row r="1380" spans="1:17" ht="14.4" x14ac:dyDescent="0.3">
      <c r="A1380" s="63">
        <v>46230</v>
      </c>
      <c r="B1380" s="64">
        <v>23153.1</v>
      </c>
      <c r="C1380" s="47">
        <f t="shared" si="105"/>
        <v>1.0465537482597487E-2</v>
      </c>
      <c r="D1380" s="65">
        <v>459.25082789999999</v>
      </c>
      <c r="E1380" s="47">
        <f t="shared" si="106"/>
        <v>-1.1278995530964009E-2</v>
      </c>
      <c r="H1380" s="65">
        <v>1298.4000000000001</v>
      </c>
      <c r="I1380" s="47">
        <f t="shared" si="107"/>
        <v>-1.1539349180705871E-3</v>
      </c>
      <c r="L1380" s="65">
        <v>520.56385846000001</v>
      </c>
      <c r="M1380" s="47">
        <f t="shared" si="108"/>
        <v>-1.5132885652061279E-2</v>
      </c>
      <c r="P1380" s="65">
        <v>329.4</v>
      </c>
      <c r="Q1380" s="47">
        <f t="shared" si="109"/>
        <v>1.5202189115233189E-3</v>
      </c>
    </row>
    <row r="1381" spans="1:17" ht="14.4" x14ac:dyDescent="0.3">
      <c r="A1381" s="63">
        <v>46231</v>
      </c>
      <c r="B1381" s="64">
        <v>23114.9</v>
      </c>
      <c r="C1381" s="47">
        <f t="shared" si="105"/>
        <v>-1.6498870561608703E-3</v>
      </c>
      <c r="D1381" s="65">
        <v>460.63470899999999</v>
      </c>
      <c r="E1381" s="47">
        <f t="shared" si="106"/>
        <v>3.0133448127420692E-3</v>
      </c>
      <c r="H1381" s="65">
        <v>1265.5</v>
      </c>
      <c r="I1381" s="47">
        <f t="shared" si="107"/>
        <v>-2.5338878619839855E-2</v>
      </c>
      <c r="L1381" s="65">
        <v>505.16640639000002</v>
      </c>
      <c r="M1381" s="47">
        <f t="shared" si="108"/>
        <v>-2.9578411600741483E-2</v>
      </c>
      <c r="P1381" s="65">
        <v>327.05</v>
      </c>
      <c r="Q1381" s="47">
        <f t="shared" si="109"/>
        <v>-7.1341833636914265E-3</v>
      </c>
    </row>
    <row r="1382" spans="1:17" ht="14.4" x14ac:dyDescent="0.3">
      <c r="A1382" s="63">
        <v>46232</v>
      </c>
      <c r="B1382" s="64">
        <v>23352.6</v>
      </c>
      <c r="C1382" s="47">
        <f t="shared" si="105"/>
        <v>1.0283410267835746E-2</v>
      </c>
      <c r="D1382" s="65">
        <v>472.05172807999998</v>
      </c>
      <c r="E1382" s="47">
        <f t="shared" si="106"/>
        <v>2.4785407736176435E-2</v>
      </c>
      <c r="H1382" s="65">
        <v>1303.4000000000001</v>
      </c>
      <c r="I1382" s="47">
        <f t="shared" si="107"/>
        <v>2.9948636902410231E-2</v>
      </c>
      <c r="L1382" s="65">
        <v>526.71284093999998</v>
      </c>
      <c r="M1382" s="47">
        <f t="shared" si="108"/>
        <v>4.2652152394642151E-2</v>
      </c>
      <c r="P1382" s="65">
        <v>330.55</v>
      </c>
      <c r="Q1382" s="47">
        <f t="shared" si="109"/>
        <v>1.0701727564592645E-2</v>
      </c>
    </row>
    <row r="1383" spans="1:17" ht="14.4" x14ac:dyDescent="0.3">
      <c r="A1383" s="63">
        <v>46233</v>
      </c>
      <c r="B1383" s="64">
        <v>23353.55</v>
      </c>
      <c r="C1383" s="47">
        <f t="shared" si="105"/>
        <v>4.0680695083228358E-5</v>
      </c>
      <c r="D1383" s="65">
        <v>463.35304688000002</v>
      </c>
      <c r="E1383" s="47">
        <f t="shared" si="106"/>
        <v>-1.8427389801919714E-2</v>
      </c>
      <c r="H1383" s="65">
        <v>1282.7</v>
      </c>
      <c r="I1383" s="47">
        <f t="shared" si="107"/>
        <v>-1.5881540586159315E-2</v>
      </c>
      <c r="L1383" s="65">
        <v>527.01279131000001</v>
      </c>
      <c r="M1383" s="47">
        <f t="shared" si="108"/>
        <v>5.6947609149737843E-4</v>
      </c>
      <c r="P1383" s="65">
        <v>329.25</v>
      </c>
      <c r="Q1383" s="47">
        <f t="shared" si="109"/>
        <v>-3.9328392073816332E-3</v>
      </c>
    </row>
    <row r="1384" spans="1:17" ht="14.4" x14ac:dyDescent="0.3">
      <c r="A1384" s="63">
        <v>46234</v>
      </c>
      <c r="B1384" s="64">
        <v>23460.7</v>
      </c>
      <c r="C1384" s="47">
        <f t="shared" si="105"/>
        <v>4.5881675376977515E-3</v>
      </c>
      <c r="D1384" s="65">
        <v>463.55074417999998</v>
      </c>
      <c r="E1384" s="47">
        <f t="shared" si="106"/>
        <v>4.2666666666191233E-4</v>
      </c>
      <c r="H1384" s="65">
        <v>1289.5999999999999</v>
      </c>
      <c r="I1384" s="47">
        <f t="shared" si="107"/>
        <v>5.3792780852888189E-3</v>
      </c>
      <c r="L1384" s="65">
        <v>527.66268376000005</v>
      </c>
      <c r="M1384" s="47">
        <f t="shared" si="108"/>
        <v>1.2331625735015894E-3</v>
      </c>
      <c r="P1384" s="65">
        <v>332.9</v>
      </c>
      <c r="Q1384" s="47">
        <f t="shared" si="109"/>
        <v>1.1085801063021927E-2</v>
      </c>
    </row>
    <row r="1385" spans="1:17" ht="14.4" x14ac:dyDescent="0.3">
      <c r="A1385" s="63">
        <v>46237</v>
      </c>
      <c r="B1385" s="64">
        <v>23802.85</v>
      </c>
      <c r="C1385" s="47">
        <f t="shared" si="105"/>
        <v>1.4583963820346213E-2</v>
      </c>
      <c r="D1385" s="65">
        <v>473.23791188000001</v>
      </c>
      <c r="E1385" s="47">
        <f t="shared" si="106"/>
        <v>2.0897750292982797E-2</v>
      </c>
      <c r="H1385" s="65">
        <v>1283.5</v>
      </c>
      <c r="I1385" s="47">
        <f t="shared" si="107"/>
        <v>-4.7301488833746408E-3</v>
      </c>
      <c r="L1385" s="65">
        <v>549.05914313000005</v>
      </c>
      <c r="M1385" s="47">
        <f t="shared" si="108"/>
        <v>4.0549502605592425E-2</v>
      </c>
      <c r="P1385" s="65">
        <v>337.65</v>
      </c>
      <c r="Q1385" s="47">
        <f t="shared" si="109"/>
        <v>1.4268549113847895E-2</v>
      </c>
    </row>
    <row r="1386" spans="1:17" ht="14.4" x14ac:dyDescent="0.3">
      <c r="A1386" s="63">
        <v>46238</v>
      </c>
      <c r="B1386" s="64">
        <v>23690.15</v>
      </c>
      <c r="C1386" s="47">
        <f t="shared" si="105"/>
        <v>-4.7347271440183469E-3</v>
      </c>
      <c r="D1386" s="65">
        <v>468.64144965000003</v>
      </c>
      <c r="E1386" s="47">
        <f t="shared" si="106"/>
        <v>-9.7127937441443546E-3</v>
      </c>
      <c r="H1386" s="65">
        <v>1279.7</v>
      </c>
      <c r="I1386" s="47">
        <f t="shared" si="107"/>
        <v>-2.9606544604596774E-3</v>
      </c>
      <c r="L1386" s="65">
        <v>546.25960639000004</v>
      </c>
      <c r="M1386" s="47">
        <f t="shared" si="108"/>
        <v>-5.0987890376268385E-3</v>
      </c>
      <c r="P1386" s="65">
        <v>349.7</v>
      </c>
      <c r="Q1386" s="47">
        <f t="shared" si="109"/>
        <v>3.56878424403968E-2</v>
      </c>
    </row>
    <row r="1387" spans="1:17" ht="14.4" x14ac:dyDescent="0.3">
      <c r="A1387" s="63">
        <v>46239</v>
      </c>
      <c r="B1387" s="64">
        <v>23735.55</v>
      </c>
      <c r="C1387" s="47">
        <f t="shared" si="105"/>
        <v>1.9164082962750406E-3</v>
      </c>
      <c r="D1387" s="65">
        <v>470.07475507999999</v>
      </c>
      <c r="E1387" s="47">
        <f t="shared" si="106"/>
        <v>3.0584265029702795E-3</v>
      </c>
      <c r="H1387" s="65">
        <v>1283</v>
      </c>
      <c r="I1387" s="47">
        <f t="shared" si="107"/>
        <v>2.5787293897006069E-3</v>
      </c>
      <c r="L1387" s="65">
        <v>548.40925067000001</v>
      </c>
      <c r="M1387" s="47">
        <f t="shared" si="108"/>
        <v>3.935206364984678E-3</v>
      </c>
      <c r="P1387" s="65">
        <v>348.1</v>
      </c>
      <c r="Q1387" s="47">
        <f t="shared" si="109"/>
        <v>-4.5753503002572415E-3</v>
      </c>
    </row>
    <row r="1388" spans="1:17" ht="14.4" x14ac:dyDescent="0.3">
      <c r="A1388" s="63">
        <v>46240</v>
      </c>
      <c r="B1388" s="64">
        <v>23729.45</v>
      </c>
      <c r="C1388" s="47">
        <f t="shared" si="105"/>
        <v>-2.5699846854188024E-4</v>
      </c>
      <c r="D1388" s="65">
        <v>472.20000105000003</v>
      </c>
      <c r="E1388" s="47">
        <f t="shared" si="106"/>
        <v>4.5210808430635741E-3</v>
      </c>
      <c r="H1388" s="65">
        <v>1294.0999999999999</v>
      </c>
      <c r="I1388" s="47">
        <f t="shared" si="107"/>
        <v>8.6515978176149311E-3</v>
      </c>
      <c r="L1388" s="65">
        <v>526.41289057999995</v>
      </c>
      <c r="M1388" s="47">
        <f t="shared" si="108"/>
        <v>-4.0109389225522318E-2</v>
      </c>
      <c r="P1388" s="65">
        <v>382.5</v>
      </c>
      <c r="Q1388" s="47">
        <f t="shared" si="109"/>
        <v>9.8822177535190958E-2</v>
      </c>
    </row>
    <row r="1389" spans="1:17" ht="14.4" x14ac:dyDescent="0.3">
      <c r="A1389" s="63">
        <v>46241</v>
      </c>
      <c r="B1389" s="64">
        <v>23712.1</v>
      </c>
      <c r="C1389" s="47">
        <f t="shared" si="105"/>
        <v>-7.3115896070086173E-4</v>
      </c>
      <c r="D1389" s="65">
        <v>478.85</v>
      </c>
      <c r="E1389" s="47">
        <f t="shared" si="106"/>
        <v>1.4083013416376078E-2</v>
      </c>
      <c r="H1389" s="65">
        <v>1317.2</v>
      </c>
      <c r="I1389" s="47">
        <f t="shared" si="107"/>
        <v>1.7850243412410371E-2</v>
      </c>
      <c r="L1389" s="65">
        <v>517.76432172</v>
      </c>
      <c r="M1389" s="47">
        <f t="shared" si="108"/>
        <v>-1.642924976717608E-2</v>
      </c>
      <c r="P1389" s="65">
        <v>371.15</v>
      </c>
      <c r="Q1389" s="47">
        <f t="shared" si="109"/>
        <v>-2.9673202614379113E-2</v>
      </c>
    </row>
    <row r="1390" spans="1:17" ht="14.4" x14ac:dyDescent="0.3">
      <c r="A1390" s="63">
        <v>46244</v>
      </c>
      <c r="B1390" s="64">
        <v>23743.200000000001</v>
      </c>
      <c r="C1390" s="47">
        <f t="shared" si="105"/>
        <v>1.3115666684941907E-3</v>
      </c>
      <c r="D1390" s="65">
        <v>475.85</v>
      </c>
      <c r="E1390" s="47">
        <f t="shared" si="106"/>
        <v>-6.2650099195989961E-3</v>
      </c>
      <c r="H1390" s="65">
        <v>1315.4</v>
      </c>
      <c r="I1390" s="47">
        <f t="shared" si="107"/>
        <v>-1.3665350744002103E-3</v>
      </c>
      <c r="L1390" s="65">
        <v>528.91247695000004</v>
      </c>
      <c r="M1390" s="47">
        <f t="shared" si="108"/>
        <v>2.1531331461708492E-2</v>
      </c>
      <c r="P1390" s="65">
        <v>363.1</v>
      </c>
      <c r="Q1390" s="47">
        <f t="shared" si="109"/>
        <v>-2.1689343931025062E-2</v>
      </c>
    </row>
    <row r="1391" spans="1:17" ht="14.4" x14ac:dyDescent="0.3">
      <c r="A1391" s="63">
        <v>46245</v>
      </c>
      <c r="B1391" s="64">
        <v>23681.15</v>
      </c>
      <c r="C1391" s="47">
        <f t="shared" si="105"/>
        <v>-2.6133798308568545E-3</v>
      </c>
      <c r="D1391" s="65">
        <v>450.75</v>
      </c>
      <c r="E1391" s="47">
        <f t="shared" si="106"/>
        <v>-5.2747714615950403E-2</v>
      </c>
      <c r="H1391" s="65">
        <v>1347.7</v>
      </c>
      <c r="I1391" s="47">
        <f t="shared" si="107"/>
        <v>2.4555268359434335E-2</v>
      </c>
      <c r="L1391" s="65">
        <v>526.16293194000002</v>
      </c>
      <c r="M1391" s="47">
        <f t="shared" si="108"/>
        <v>-5.198487707938737E-3</v>
      </c>
      <c r="P1391" s="65">
        <v>360.35</v>
      </c>
      <c r="Q1391" s="47">
        <f t="shared" si="109"/>
        <v>-7.5736711649683208E-3</v>
      </c>
    </row>
    <row r="1392" spans="1:17" ht="14.4" x14ac:dyDescent="0.3">
      <c r="A1392" s="63">
        <v>46246</v>
      </c>
      <c r="B1392" s="64">
        <v>23672.45</v>
      </c>
      <c r="C1392" s="47">
        <f t="shared" si="105"/>
        <v>-3.6738080709763921E-4</v>
      </c>
      <c r="D1392" s="65">
        <v>441.8</v>
      </c>
      <c r="E1392" s="47">
        <f t="shared" si="106"/>
        <v>-1.9855795895729278E-2</v>
      </c>
      <c r="H1392" s="65">
        <v>1396.8</v>
      </c>
      <c r="I1392" s="47">
        <f t="shared" si="107"/>
        <v>3.6432440454106985E-2</v>
      </c>
      <c r="L1392" s="65">
        <v>540.76051637</v>
      </c>
      <c r="M1392" s="47">
        <f t="shared" si="108"/>
        <v>2.7743467933359911E-2</v>
      </c>
      <c r="P1392" s="65">
        <v>363.95</v>
      </c>
      <c r="Q1392" s="47">
        <f t="shared" si="109"/>
        <v>9.9902872207575655E-3</v>
      </c>
    </row>
    <row r="1393" spans="1:17" ht="14.4" x14ac:dyDescent="0.3">
      <c r="A1393" s="63">
        <v>46247</v>
      </c>
      <c r="B1393" s="64">
        <v>23658.1</v>
      </c>
      <c r="C1393" s="47">
        <f t="shared" si="105"/>
        <v>-6.0618989584948491E-4</v>
      </c>
      <c r="D1393" s="65">
        <v>444.65</v>
      </c>
      <c r="E1393" s="47">
        <f t="shared" si="106"/>
        <v>6.4508827523765966E-3</v>
      </c>
      <c r="H1393" s="65">
        <v>1365.1</v>
      </c>
      <c r="I1393" s="47">
        <f t="shared" si="107"/>
        <v>-2.2694730813287545E-2</v>
      </c>
      <c r="L1393" s="65">
        <v>545.65970565999999</v>
      </c>
      <c r="M1393" s="47">
        <f t="shared" si="108"/>
        <v>9.0598132476222837E-3</v>
      </c>
      <c r="P1393" s="65">
        <v>356.6</v>
      </c>
      <c r="Q1393" s="47">
        <f t="shared" si="109"/>
        <v>-2.0195081741997467E-2</v>
      </c>
    </row>
    <row r="1394" spans="1:17" ht="14.4" x14ac:dyDescent="0.3">
      <c r="A1394" s="63">
        <v>46248</v>
      </c>
      <c r="B1394" s="64">
        <v>23594.9</v>
      </c>
      <c r="C1394" s="47">
        <f t="shared" si="105"/>
        <v>-2.6713895029607526E-3</v>
      </c>
      <c r="D1394" s="65">
        <v>439.9</v>
      </c>
      <c r="E1394" s="47">
        <f t="shared" si="106"/>
        <v>-1.0682559316316231E-2</v>
      </c>
      <c r="H1394" s="65">
        <v>1352.2</v>
      </c>
      <c r="I1394" s="47">
        <f t="shared" si="107"/>
        <v>-9.4498571533220277E-3</v>
      </c>
      <c r="L1394" s="65">
        <v>525.26308084000004</v>
      </c>
      <c r="M1394" s="47">
        <f t="shared" si="108"/>
        <v>-3.7379752634161045E-2</v>
      </c>
      <c r="P1394" s="65">
        <v>362.4</v>
      </c>
      <c r="Q1394" s="47">
        <f t="shared" si="109"/>
        <v>1.6264722378014351E-2</v>
      </c>
    </row>
    <row r="1395" spans="1:17" ht="14.4" x14ac:dyDescent="0.3">
      <c r="A1395" s="63">
        <v>46251</v>
      </c>
      <c r="B1395" s="64">
        <v>23564.45</v>
      </c>
      <c r="C1395" s="47">
        <f t="shared" si="105"/>
        <v>-1.290533123683546E-3</v>
      </c>
      <c r="D1395" s="65">
        <v>436.35</v>
      </c>
      <c r="E1395" s="47">
        <f t="shared" si="106"/>
        <v>-8.0700159127072846E-3</v>
      </c>
      <c r="H1395" s="65">
        <v>1404.2</v>
      </c>
      <c r="I1395" s="47">
        <f t="shared" si="107"/>
        <v>3.8455849726371838E-2</v>
      </c>
      <c r="L1395" s="65">
        <v>530.61219569000002</v>
      </c>
      <c r="M1395" s="47">
        <f t="shared" si="108"/>
        <v>1.0183687080092652E-2</v>
      </c>
      <c r="P1395" s="65">
        <v>357.45</v>
      </c>
      <c r="Q1395" s="47">
        <f t="shared" si="109"/>
        <v>-1.3658940397350938E-2</v>
      </c>
    </row>
    <row r="1396" spans="1:17" ht="14.4" x14ac:dyDescent="0.3">
      <c r="A1396" s="63">
        <v>46252</v>
      </c>
      <c r="B1396" s="64">
        <v>23472.400000000001</v>
      </c>
      <c r="C1396" s="47">
        <f t="shared" si="105"/>
        <v>-3.906308019071103E-3</v>
      </c>
      <c r="D1396" s="65">
        <v>428.6</v>
      </c>
      <c r="E1396" s="47">
        <f t="shared" si="106"/>
        <v>-1.7760971697032168E-2</v>
      </c>
      <c r="H1396" s="65">
        <v>1403.5</v>
      </c>
      <c r="I1396" s="47">
        <f t="shared" si="107"/>
        <v>-4.9850448654042978E-4</v>
      </c>
      <c r="L1396" s="65">
        <v>538.86083071999997</v>
      </c>
      <c r="M1396" s="47">
        <f t="shared" si="108"/>
        <v>1.5545505921275682E-2</v>
      </c>
      <c r="P1396" s="65">
        <v>355.55</v>
      </c>
      <c r="Q1396" s="47">
        <f t="shared" si="109"/>
        <v>-5.3154287312909831E-3</v>
      </c>
    </row>
    <row r="1397" spans="1:17" ht="14.4" x14ac:dyDescent="0.3">
      <c r="A1397" s="63">
        <v>46253</v>
      </c>
      <c r="B1397" s="64">
        <v>23386.2</v>
      </c>
      <c r="C1397" s="47">
        <f t="shared" si="105"/>
        <v>-3.6723982208892725E-3</v>
      </c>
      <c r="D1397" s="65">
        <v>423.5</v>
      </c>
      <c r="E1397" s="47">
        <f t="shared" si="106"/>
        <v>-1.1899206719552136E-2</v>
      </c>
      <c r="H1397" s="65">
        <v>1376.6</v>
      </c>
      <c r="I1397" s="47">
        <f t="shared" si="107"/>
        <v>-1.9166369789811233E-2</v>
      </c>
      <c r="L1397" s="65">
        <v>550.75886187000003</v>
      </c>
      <c r="M1397" s="47">
        <f t="shared" si="108"/>
        <v>2.2079970322026243E-2</v>
      </c>
      <c r="P1397" s="65">
        <v>353.55</v>
      </c>
      <c r="Q1397" s="47">
        <f t="shared" si="109"/>
        <v>-5.6250878919983371E-3</v>
      </c>
    </row>
    <row r="1398" spans="1:17" ht="14.4" x14ac:dyDescent="0.3">
      <c r="A1398" s="63">
        <v>46254</v>
      </c>
      <c r="B1398" s="64">
        <v>23512.95</v>
      </c>
      <c r="C1398" s="47">
        <f t="shared" si="105"/>
        <v>5.419862996125957E-3</v>
      </c>
      <c r="D1398" s="65">
        <v>424.1</v>
      </c>
      <c r="E1398" s="47">
        <f t="shared" si="106"/>
        <v>1.4167650531287102E-3</v>
      </c>
      <c r="H1398" s="65">
        <v>1387.6</v>
      </c>
      <c r="I1398" s="47">
        <f t="shared" si="107"/>
        <v>7.9907017288973758E-3</v>
      </c>
      <c r="L1398" s="65">
        <v>555.35810079999999</v>
      </c>
      <c r="M1398" s="47">
        <f t="shared" si="108"/>
        <v>8.3507306888972455E-3</v>
      </c>
      <c r="P1398" s="65">
        <v>354.35</v>
      </c>
      <c r="Q1398" s="47">
        <f t="shared" si="109"/>
        <v>2.2627633998020258E-3</v>
      </c>
    </row>
    <row r="1399" spans="1:17" ht="14.4" x14ac:dyDescent="0.3">
      <c r="A1399" s="63">
        <v>46255</v>
      </c>
      <c r="B1399" s="64">
        <v>23530.3</v>
      </c>
      <c r="C1399" s="47">
        <f t="shared" si="105"/>
        <v>7.3789124716383547E-4</v>
      </c>
      <c r="D1399" s="65">
        <v>435.95</v>
      </c>
      <c r="E1399" s="47">
        <f t="shared" si="106"/>
        <v>2.7941523225654352E-2</v>
      </c>
      <c r="H1399" s="65">
        <v>1404.5</v>
      </c>
      <c r="I1399" s="47">
        <f t="shared" si="107"/>
        <v>1.2179302392620439E-2</v>
      </c>
      <c r="L1399" s="65">
        <v>553.90834070000005</v>
      </c>
      <c r="M1399" s="47">
        <f t="shared" si="108"/>
        <v>-2.6104959987286458E-3</v>
      </c>
      <c r="P1399" s="65">
        <v>351.65</v>
      </c>
      <c r="Q1399" s="47">
        <f t="shared" si="109"/>
        <v>-7.6195851559194283E-3</v>
      </c>
    </row>
    <row r="1400" spans="1:17" ht="14.4" x14ac:dyDescent="0.3">
      <c r="A1400" s="63">
        <v>46258</v>
      </c>
      <c r="B1400" s="64">
        <v>23511.75</v>
      </c>
      <c r="C1400" s="47">
        <f t="shared" si="105"/>
        <v>-7.8834523996718087E-4</v>
      </c>
      <c r="D1400" s="65">
        <v>431.35</v>
      </c>
      <c r="E1400" s="47">
        <f t="shared" si="106"/>
        <v>-1.0551668769354206E-2</v>
      </c>
      <c r="H1400" s="65">
        <v>1388.9</v>
      </c>
      <c r="I1400" s="47">
        <f t="shared" si="107"/>
        <v>-1.1107155571377647E-2</v>
      </c>
      <c r="L1400" s="65">
        <v>574.90486625000005</v>
      </c>
      <c r="M1400" s="47">
        <f t="shared" si="108"/>
        <v>3.7906137184115618E-2</v>
      </c>
      <c r="P1400" s="65">
        <v>344.65</v>
      </c>
      <c r="Q1400" s="47">
        <f t="shared" si="109"/>
        <v>-1.9906156689890486E-2</v>
      </c>
    </row>
    <row r="1401" spans="1:17" ht="14.4" x14ac:dyDescent="0.3">
      <c r="A1401" s="63">
        <v>46259</v>
      </c>
      <c r="B1401" s="64">
        <v>23611.599999999999</v>
      </c>
      <c r="C1401" s="47">
        <f t="shared" si="105"/>
        <v>4.2468127638308761E-3</v>
      </c>
      <c r="D1401" s="65">
        <v>426.35</v>
      </c>
      <c r="E1401" s="47">
        <f t="shared" si="106"/>
        <v>-1.1591515011011966E-2</v>
      </c>
      <c r="H1401" s="65">
        <v>1384.4</v>
      </c>
      <c r="I1401" s="47">
        <f t="shared" si="107"/>
        <v>-3.2399740802073751E-3</v>
      </c>
      <c r="L1401" s="65">
        <v>549.10913486000004</v>
      </c>
      <c r="M1401" s="47">
        <f t="shared" si="108"/>
        <v>-4.4869565217391272E-2</v>
      </c>
      <c r="P1401" s="65">
        <v>334.35</v>
      </c>
      <c r="Q1401" s="47">
        <f t="shared" si="109"/>
        <v>-2.9885390976352677E-2</v>
      </c>
    </row>
    <row r="1402" spans="1:17" ht="14.4" x14ac:dyDescent="0.3">
      <c r="A1402" s="63">
        <v>46260</v>
      </c>
      <c r="B1402" s="64">
        <v>23559.200000000001</v>
      </c>
      <c r="C1402" s="47">
        <f t="shared" si="105"/>
        <v>-2.2192481661554853E-3</v>
      </c>
      <c r="D1402" s="65">
        <v>430.15</v>
      </c>
      <c r="E1402" s="47">
        <f t="shared" si="106"/>
        <v>8.912865017004723E-3</v>
      </c>
      <c r="H1402" s="65">
        <v>1391.3</v>
      </c>
      <c r="I1402" s="47">
        <f t="shared" si="107"/>
        <v>4.9841086391215761E-3</v>
      </c>
      <c r="L1402" s="65">
        <v>547.15945749000002</v>
      </c>
      <c r="M1402" s="47">
        <f t="shared" si="108"/>
        <v>-3.5506190777487845E-3</v>
      </c>
      <c r="P1402" s="65">
        <v>340.6</v>
      </c>
      <c r="Q1402" s="47">
        <f t="shared" si="109"/>
        <v>1.8692986391505961E-2</v>
      </c>
    </row>
    <row r="1403" spans="1:17" ht="14.4" x14ac:dyDescent="0.3">
      <c r="A1403" s="63">
        <v>46261</v>
      </c>
      <c r="B1403" s="64">
        <v>23482</v>
      </c>
      <c r="C1403" s="47">
        <f t="shared" si="105"/>
        <v>-3.2768515059934389E-3</v>
      </c>
      <c r="D1403" s="65">
        <v>421.4</v>
      </c>
      <c r="E1403" s="47">
        <f t="shared" si="106"/>
        <v>-2.0341741253051215E-2</v>
      </c>
      <c r="H1403" s="65">
        <v>1391</v>
      </c>
      <c r="I1403" s="47">
        <f t="shared" si="107"/>
        <v>-2.1562567383015541E-4</v>
      </c>
      <c r="L1403" s="65">
        <v>558.00766236000004</v>
      </c>
      <c r="M1403" s="47">
        <f t="shared" si="108"/>
        <v>1.9826404755506344E-2</v>
      </c>
      <c r="P1403" s="65">
        <v>334.8</v>
      </c>
      <c r="Q1403" s="47">
        <f t="shared" si="109"/>
        <v>-1.7028772753963639E-2</v>
      </c>
    </row>
    <row r="1404" spans="1:17" ht="14.4" x14ac:dyDescent="0.3">
      <c r="A1404" s="63">
        <v>46262</v>
      </c>
      <c r="B1404" s="64">
        <v>23528.55</v>
      </c>
      <c r="C1404" s="47">
        <f t="shared" si="105"/>
        <v>1.9823694744911524E-3</v>
      </c>
      <c r="D1404" s="65">
        <v>425.8</v>
      </c>
      <c r="E1404" s="47">
        <f t="shared" si="106"/>
        <v>1.0441385856668317E-2</v>
      </c>
      <c r="H1404" s="65">
        <v>1386.3</v>
      </c>
      <c r="I1404" s="47">
        <f t="shared" si="107"/>
        <v>-3.3788641265276587E-3</v>
      </c>
      <c r="L1404" s="65">
        <v>546.15962293999996</v>
      </c>
      <c r="M1404" s="47">
        <f t="shared" si="108"/>
        <v>-2.1232753991030862E-2</v>
      </c>
      <c r="P1404" s="65">
        <v>332.75</v>
      </c>
      <c r="Q1404" s="47">
        <f t="shared" si="109"/>
        <v>-6.123058542413462E-3</v>
      </c>
    </row>
    <row r="1405" spans="1:17" ht="14.4" x14ac:dyDescent="0.3">
      <c r="A1405" s="63">
        <v>46265</v>
      </c>
      <c r="B1405" s="64">
        <v>23450.35</v>
      </c>
      <c r="C1405" s="47">
        <f t="shared" si="105"/>
        <v>-3.3236217276457758E-3</v>
      </c>
      <c r="D1405" s="65">
        <v>416.5</v>
      </c>
      <c r="E1405" s="47">
        <f t="shared" si="106"/>
        <v>-2.1841240018788177E-2</v>
      </c>
      <c r="H1405" s="65">
        <v>1400.9</v>
      </c>
      <c r="I1405" s="47">
        <f t="shared" si="107"/>
        <v>1.0531630960109784E-2</v>
      </c>
      <c r="L1405" s="65">
        <v>541.11045846000002</v>
      </c>
      <c r="M1405" s="47">
        <f t="shared" si="108"/>
        <v>-9.2448512631162494E-3</v>
      </c>
      <c r="P1405" s="65">
        <v>324.8</v>
      </c>
      <c r="Q1405" s="47">
        <f t="shared" si="109"/>
        <v>-2.3891810668670188E-2</v>
      </c>
    </row>
    <row r="1406" spans="1:17" ht="14.4" x14ac:dyDescent="0.3">
      <c r="A1406" s="63">
        <v>46266</v>
      </c>
      <c r="B1406" s="64">
        <v>23339.9</v>
      </c>
      <c r="C1406" s="47">
        <f t="shared" si="105"/>
        <v>-4.7099510241850329E-3</v>
      </c>
      <c r="D1406" s="65">
        <v>417</v>
      </c>
      <c r="E1406" s="47">
        <f t="shared" si="106"/>
        <v>1.2004801920768582E-3</v>
      </c>
      <c r="H1406" s="65">
        <v>1408.4</v>
      </c>
      <c r="I1406" s="47">
        <f t="shared" si="107"/>
        <v>5.3537011920907762E-3</v>
      </c>
      <c r="L1406" s="65">
        <v>534.46155869999996</v>
      </c>
      <c r="M1406" s="47">
        <f t="shared" si="108"/>
        <v>-1.2287509243348982E-2</v>
      </c>
      <c r="P1406" s="65">
        <v>325.85000000000002</v>
      </c>
      <c r="Q1406" s="47">
        <f t="shared" si="109"/>
        <v>3.2327586206897241E-3</v>
      </c>
    </row>
    <row r="1407" spans="1:17" ht="14.4" x14ac:dyDescent="0.3">
      <c r="A1407" s="63">
        <v>46267</v>
      </c>
      <c r="B1407" s="64">
        <v>23222.799999999999</v>
      </c>
      <c r="C1407" s="47">
        <f t="shared" si="105"/>
        <v>-5.0171594565530109E-3</v>
      </c>
      <c r="D1407" s="65">
        <v>407.8</v>
      </c>
      <c r="E1407" s="47">
        <f t="shared" si="106"/>
        <v>-2.2062350119904095E-2</v>
      </c>
      <c r="H1407" s="65">
        <v>1410.5</v>
      </c>
      <c r="I1407" s="47">
        <f t="shared" si="107"/>
        <v>1.4910536779322303E-3</v>
      </c>
      <c r="L1407" s="65">
        <v>537.06112853000002</v>
      </c>
      <c r="M1407" s="47">
        <f t="shared" si="108"/>
        <v>4.8639042185243397E-3</v>
      </c>
      <c r="P1407" s="65">
        <v>323.60000000000002</v>
      </c>
      <c r="Q1407" s="47">
        <f t="shared" si="109"/>
        <v>-6.9050176461562529E-3</v>
      </c>
    </row>
    <row r="1408" spans="1:17" ht="14.4" x14ac:dyDescent="0.3">
      <c r="A1408" s="63">
        <v>46268</v>
      </c>
      <c r="B1408" s="64">
        <v>23254.05</v>
      </c>
      <c r="C1408" s="47">
        <f t="shared" si="105"/>
        <v>1.3456602993608957E-3</v>
      </c>
      <c r="D1408" s="65">
        <v>406.15</v>
      </c>
      <c r="E1408" s="47">
        <f t="shared" si="106"/>
        <v>-4.0461010299167599E-3</v>
      </c>
      <c r="H1408" s="65">
        <v>1417.7</v>
      </c>
      <c r="I1408" s="47">
        <f t="shared" si="107"/>
        <v>5.1045728465084483E-3</v>
      </c>
      <c r="L1408" s="65">
        <v>546.80951539</v>
      </c>
      <c r="M1408" s="47">
        <f t="shared" si="108"/>
        <v>1.8151354365717021E-2</v>
      </c>
      <c r="P1408" s="65">
        <v>334.2</v>
      </c>
      <c r="Q1408" s="47">
        <f t="shared" si="109"/>
        <v>3.2756489493201313E-2</v>
      </c>
    </row>
    <row r="1409" spans="1:17" ht="14.4" x14ac:dyDescent="0.3">
      <c r="A1409" s="63">
        <v>46269</v>
      </c>
      <c r="B1409" s="64">
        <v>23254.15</v>
      </c>
      <c r="C1409" s="47">
        <f t="shared" si="105"/>
        <v>4.3003261798180148E-6</v>
      </c>
      <c r="D1409" s="65">
        <v>408.55</v>
      </c>
      <c r="E1409" s="47">
        <f t="shared" si="106"/>
        <v>5.9091468669212333E-3</v>
      </c>
      <c r="H1409" s="65">
        <v>1406.6</v>
      </c>
      <c r="I1409" s="47">
        <f t="shared" si="107"/>
        <v>-7.8295831276011807E-3</v>
      </c>
      <c r="L1409" s="65">
        <v>591.00220250999996</v>
      </c>
      <c r="M1409" s="47">
        <f t="shared" si="108"/>
        <v>8.0819162571595937E-2</v>
      </c>
      <c r="P1409" s="65">
        <v>331.15</v>
      </c>
      <c r="Q1409" s="47">
        <f t="shared" si="109"/>
        <v>-9.1262716935966992E-3</v>
      </c>
    </row>
    <row r="1410" spans="1:17" ht="14.4" x14ac:dyDescent="0.3">
      <c r="A1410" s="63">
        <v>46272</v>
      </c>
      <c r="B1410" s="64">
        <v>23156.2</v>
      </c>
      <c r="C1410" s="47">
        <f t="shared" si="105"/>
        <v>-4.212151379431206E-3</v>
      </c>
      <c r="D1410" s="65">
        <v>401.65</v>
      </c>
      <c r="E1410" s="47">
        <f t="shared" si="106"/>
        <v>-1.688899767470331E-2</v>
      </c>
      <c r="H1410" s="65">
        <v>1424.4</v>
      </c>
      <c r="I1410" s="47">
        <f t="shared" si="107"/>
        <v>1.2654628181430594E-2</v>
      </c>
      <c r="L1410" s="65">
        <v>604.30000201999997</v>
      </c>
      <c r="M1410" s="47">
        <f t="shared" si="108"/>
        <v>2.2500422931630348E-2</v>
      </c>
      <c r="P1410" s="65">
        <v>342.1</v>
      </c>
      <c r="Q1410" s="47">
        <f t="shared" si="109"/>
        <v>3.3066586139211873E-2</v>
      </c>
    </row>
    <row r="1411" spans="1:17" ht="14.4" x14ac:dyDescent="0.3">
      <c r="A1411" s="63">
        <v>46273</v>
      </c>
      <c r="B1411" s="64">
        <v>23106.1</v>
      </c>
      <c r="C1411" s="47">
        <f t="shared" si="105"/>
        <v>-2.1635674247071357E-3</v>
      </c>
      <c r="D1411" s="65">
        <v>405.7</v>
      </c>
      <c r="E1411" s="47">
        <f t="shared" si="106"/>
        <v>1.0083405950454427E-2</v>
      </c>
      <c r="H1411" s="65">
        <v>1397.5</v>
      </c>
      <c r="I1411" s="47">
        <f t="shared" si="107"/>
        <v>-1.8885144622297179E-2</v>
      </c>
      <c r="L1411" s="65">
        <v>604.70000000000005</v>
      </c>
      <c r="M1411" s="47">
        <f t="shared" si="108"/>
        <v>6.6191954106065154E-4</v>
      </c>
      <c r="P1411" s="65">
        <v>339.95</v>
      </c>
      <c r="Q1411" s="47">
        <f t="shared" si="109"/>
        <v>-6.2847120724934813E-3</v>
      </c>
    </row>
    <row r="1412" spans="1:17" ht="14.4" x14ac:dyDescent="0.3">
      <c r="A1412" s="63">
        <v>46274</v>
      </c>
      <c r="B1412" s="64">
        <v>22958.75</v>
      </c>
      <c r="C1412" s="47">
        <f t="shared" ref="C1412:C1435" si="110">B1412/B1411-1</f>
        <v>-6.3771038816589076E-3</v>
      </c>
      <c r="D1412" s="65">
        <v>393.2</v>
      </c>
      <c r="E1412" s="47">
        <f t="shared" ref="E1412:E1435" si="111">D1412/D1411-1</f>
        <v>-3.081094404732565E-2</v>
      </c>
      <c r="H1412" s="65">
        <v>1408.5</v>
      </c>
      <c r="I1412" s="47">
        <f t="shared" ref="I1412:I1435" si="112">H1412/H1411-1</f>
        <v>7.8711985688730834E-3</v>
      </c>
      <c r="L1412" s="65">
        <v>593.95000000000005</v>
      </c>
      <c r="M1412" s="47">
        <f t="shared" ref="M1412:M1435" si="113">L1412/L1411-1</f>
        <v>-1.7777410286092254E-2</v>
      </c>
      <c r="P1412" s="65">
        <v>339.8</v>
      </c>
      <c r="Q1412" s="47">
        <f t="shared" ref="Q1412:Q1435" si="114">P1412/P1411-1</f>
        <v>-4.4124135902334771E-4</v>
      </c>
    </row>
    <row r="1413" spans="1:17" ht="14.4" x14ac:dyDescent="0.3">
      <c r="A1413" s="63">
        <v>46275</v>
      </c>
      <c r="B1413" s="64">
        <v>22952.35</v>
      </c>
      <c r="C1413" s="47">
        <f t="shared" si="110"/>
        <v>-2.7876082103783784E-4</v>
      </c>
      <c r="D1413" s="65">
        <v>413.45</v>
      </c>
      <c r="E1413" s="47">
        <f t="shared" si="111"/>
        <v>5.1500508646999066E-2</v>
      </c>
      <c r="H1413" s="65">
        <v>1432</v>
      </c>
      <c r="I1413" s="47">
        <f t="shared" si="112"/>
        <v>1.6684416045438466E-2</v>
      </c>
      <c r="L1413" s="65">
        <v>583</v>
      </c>
      <c r="M1413" s="47">
        <f t="shared" si="113"/>
        <v>-1.8435895277380321E-2</v>
      </c>
      <c r="P1413" s="65">
        <v>337.75</v>
      </c>
      <c r="Q1413" s="47">
        <f t="shared" si="114"/>
        <v>-6.0329605650383256E-3</v>
      </c>
    </row>
    <row r="1414" spans="1:17" ht="14.4" x14ac:dyDescent="0.3">
      <c r="A1414" s="63">
        <v>46276</v>
      </c>
      <c r="B1414" s="64">
        <v>22866.5</v>
      </c>
      <c r="C1414" s="47">
        <f t="shared" si="110"/>
        <v>-3.7403577411462274E-3</v>
      </c>
      <c r="D1414" s="65">
        <v>406.4</v>
      </c>
      <c r="E1414" s="47">
        <f t="shared" si="111"/>
        <v>-1.7051638650380951E-2</v>
      </c>
      <c r="H1414" s="65">
        <v>1435.7</v>
      </c>
      <c r="I1414" s="47">
        <f t="shared" si="112"/>
        <v>2.583798882681565E-3</v>
      </c>
      <c r="L1414" s="65">
        <v>551.54999999999995</v>
      </c>
      <c r="M1414" s="47">
        <f t="shared" si="113"/>
        <v>-5.3945111492281428E-2</v>
      </c>
      <c r="P1414" s="65">
        <v>335.3</v>
      </c>
      <c r="Q1414" s="47">
        <f t="shared" si="114"/>
        <v>-7.2538860103626979E-3</v>
      </c>
    </row>
    <row r="1415" spans="1:17" ht="14.4" x14ac:dyDescent="0.3">
      <c r="A1415" s="63">
        <v>46280</v>
      </c>
      <c r="B1415" s="64">
        <v>22477.45</v>
      </c>
      <c r="C1415" s="47">
        <f t="shared" si="110"/>
        <v>-1.7013972405046651E-2</v>
      </c>
      <c r="D1415" s="65">
        <v>406.9</v>
      </c>
      <c r="E1415" s="47">
        <f t="shared" si="111"/>
        <v>1.2303149606298636E-3</v>
      </c>
      <c r="H1415" s="65">
        <v>1380.2</v>
      </c>
      <c r="I1415" s="47">
        <f t="shared" si="112"/>
        <v>-3.8657101065682209E-2</v>
      </c>
      <c r="L1415" s="65">
        <v>534.15</v>
      </c>
      <c r="M1415" s="47">
        <f t="shared" si="113"/>
        <v>-3.1547457166168025E-2</v>
      </c>
      <c r="P1415" s="65">
        <v>328.4</v>
      </c>
      <c r="Q1415" s="47">
        <f t="shared" si="114"/>
        <v>-2.0578586340590621E-2</v>
      </c>
    </row>
    <row r="1416" spans="1:17" ht="14.4" x14ac:dyDescent="0.3">
      <c r="A1416" s="63">
        <v>46281</v>
      </c>
      <c r="B1416" s="64">
        <v>22532</v>
      </c>
      <c r="C1416" s="47">
        <f t="shared" si="110"/>
        <v>2.4268767142179293E-3</v>
      </c>
      <c r="D1416" s="65">
        <v>397.55</v>
      </c>
      <c r="E1416" s="47">
        <f t="shared" si="111"/>
        <v>-2.2978618825264086E-2</v>
      </c>
      <c r="H1416" s="65">
        <v>1390.9</v>
      </c>
      <c r="I1416" s="47">
        <f t="shared" si="112"/>
        <v>7.7524996377336119E-3</v>
      </c>
      <c r="L1416" s="65">
        <v>522.65</v>
      </c>
      <c r="M1416" s="47">
        <f t="shared" si="113"/>
        <v>-2.1529532902742621E-2</v>
      </c>
      <c r="P1416" s="65">
        <v>322.55</v>
      </c>
      <c r="Q1416" s="47">
        <f t="shared" si="114"/>
        <v>-1.7813641900121691E-2</v>
      </c>
    </row>
    <row r="1417" spans="1:17" ht="14.4" x14ac:dyDescent="0.3">
      <c r="A1417" s="63">
        <v>46282</v>
      </c>
      <c r="B1417" s="64">
        <v>22654.65</v>
      </c>
      <c r="C1417" s="47">
        <f t="shared" si="110"/>
        <v>5.4433694301438962E-3</v>
      </c>
      <c r="D1417" s="65">
        <v>401.95</v>
      </c>
      <c r="E1417" s="47">
        <f t="shared" si="111"/>
        <v>1.1067790215067319E-2</v>
      </c>
      <c r="H1417" s="65">
        <v>1399.3</v>
      </c>
      <c r="I1417" s="47">
        <f t="shared" si="112"/>
        <v>6.0392551585304322E-3</v>
      </c>
      <c r="L1417" s="65">
        <v>532.54999999999995</v>
      </c>
      <c r="M1417" s="47">
        <f t="shared" si="113"/>
        <v>1.8941930546254593E-2</v>
      </c>
      <c r="P1417" s="65">
        <v>325.3</v>
      </c>
      <c r="Q1417" s="47">
        <f t="shared" si="114"/>
        <v>8.5258099519454067E-3</v>
      </c>
    </row>
    <row r="1418" spans="1:17" ht="14.4" x14ac:dyDescent="0.3">
      <c r="A1418" s="63">
        <v>46283</v>
      </c>
      <c r="B1418" s="64">
        <v>22840.55</v>
      </c>
      <c r="C1418" s="47">
        <f t="shared" si="110"/>
        <v>8.2058208800399601E-3</v>
      </c>
      <c r="D1418" s="65">
        <v>404.25</v>
      </c>
      <c r="E1418" s="47">
        <f t="shared" si="111"/>
        <v>5.7221047393953839E-3</v>
      </c>
      <c r="H1418" s="65">
        <v>1445.5</v>
      </c>
      <c r="I1418" s="47">
        <f t="shared" si="112"/>
        <v>3.3016508254127164E-2</v>
      </c>
      <c r="L1418" s="65">
        <v>566.20000000000005</v>
      </c>
      <c r="M1418" s="47">
        <f t="shared" si="113"/>
        <v>6.3186555253027965E-2</v>
      </c>
      <c r="P1418" s="65">
        <v>323.05</v>
      </c>
      <c r="Q1418" s="47">
        <f t="shared" si="114"/>
        <v>-6.9166922840454559E-3</v>
      </c>
    </row>
    <row r="1419" spans="1:17" ht="14.4" x14ac:dyDescent="0.3">
      <c r="A1419" s="63">
        <v>46286</v>
      </c>
      <c r="B1419" s="64">
        <v>22860.05078125</v>
      </c>
      <c r="C1419" s="47">
        <f t="shared" si="110"/>
        <v>8.5377896985838753E-4</v>
      </c>
      <c r="D1419" s="65">
        <v>403.3</v>
      </c>
      <c r="E1419" s="47">
        <f t="shared" si="111"/>
        <v>-2.3500309214594672E-3</v>
      </c>
      <c r="H1419" s="65">
        <v>1439.1</v>
      </c>
      <c r="I1419" s="47">
        <f t="shared" si="112"/>
        <v>-4.4275337253546487E-3</v>
      </c>
      <c r="L1419" s="65">
        <v>560.35</v>
      </c>
      <c r="M1419" s="47">
        <f t="shared" si="113"/>
        <v>-1.0332038149064027E-2</v>
      </c>
      <c r="P1419" s="65">
        <v>326</v>
      </c>
      <c r="Q1419" s="47">
        <f t="shared" si="114"/>
        <v>9.1317133570654185E-3</v>
      </c>
    </row>
    <row r="1420" spans="1:17" ht="14.4" x14ac:dyDescent="0.3">
      <c r="A1420" s="63">
        <v>46287</v>
      </c>
      <c r="B1420" s="64">
        <v>22794.2</v>
      </c>
      <c r="C1420" s="47">
        <f t="shared" si="110"/>
        <v>-2.8806052042548158E-3</v>
      </c>
      <c r="D1420" s="65">
        <v>391.55</v>
      </c>
      <c r="E1420" s="47">
        <f t="shared" si="111"/>
        <v>-2.9134639226382375E-2</v>
      </c>
      <c r="H1420" s="65">
        <v>1400.1</v>
      </c>
      <c r="I1420" s="47">
        <f t="shared" si="112"/>
        <v>-2.7100271002710064E-2</v>
      </c>
      <c r="L1420" s="65">
        <v>561.54999999999995</v>
      </c>
      <c r="M1420" s="47">
        <f t="shared" si="113"/>
        <v>2.1415186936735164E-3</v>
      </c>
      <c r="P1420" s="65">
        <v>323.45</v>
      </c>
      <c r="Q1420" s="47">
        <f t="shared" si="114"/>
        <v>-7.8220858895705625E-3</v>
      </c>
    </row>
    <row r="1421" spans="1:17" ht="14.4" x14ac:dyDescent="0.3">
      <c r="A1421" s="63">
        <v>46288</v>
      </c>
      <c r="B1421" s="64">
        <v>22935.1</v>
      </c>
      <c r="C1421" s="47">
        <f t="shared" si="110"/>
        <v>6.1813970220494507E-3</v>
      </c>
      <c r="D1421" s="65">
        <v>402.4</v>
      </c>
      <c r="E1421" s="47">
        <f t="shared" si="111"/>
        <v>2.7710381815859941E-2</v>
      </c>
      <c r="H1421" s="65">
        <v>1411.8</v>
      </c>
      <c r="I1421" s="47">
        <f t="shared" si="112"/>
        <v>8.3565459610028814E-3</v>
      </c>
      <c r="L1421" s="65">
        <v>567.5</v>
      </c>
      <c r="M1421" s="47">
        <f t="shared" si="113"/>
        <v>1.0595672691657176E-2</v>
      </c>
      <c r="P1421" s="65">
        <v>329.4</v>
      </c>
      <c r="Q1421" s="47">
        <f t="shared" si="114"/>
        <v>1.8395424331426824E-2</v>
      </c>
    </row>
    <row r="1422" spans="1:17" ht="14.4" x14ac:dyDescent="0.3">
      <c r="A1422" s="63">
        <v>46289</v>
      </c>
      <c r="B1422" s="64">
        <v>22552.6</v>
      </c>
      <c r="C1422" s="47">
        <f t="shared" si="110"/>
        <v>-1.6677494320931685E-2</v>
      </c>
      <c r="D1422" s="65">
        <v>395.4</v>
      </c>
      <c r="E1422" s="47">
        <f t="shared" si="111"/>
        <v>-1.7395626242544759E-2</v>
      </c>
      <c r="H1422" s="65">
        <v>1399.6</v>
      </c>
      <c r="I1422" s="47">
        <f t="shared" si="112"/>
        <v>-8.6414506304008931E-3</v>
      </c>
      <c r="L1422" s="65">
        <v>552.35</v>
      </c>
      <c r="M1422" s="47">
        <f t="shared" si="113"/>
        <v>-2.6696035242290694E-2</v>
      </c>
      <c r="P1422" s="65">
        <v>321.45</v>
      </c>
      <c r="Q1422" s="47">
        <f t="shared" si="114"/>
        <v>-2.4134790528233085E-2</v>
      </c>
    </row>
    <row r="1423" spans="1:17" ht="14.4" x14ac:dyDescent="0.3">
      <c r="A1423" s="63">
        <v>46290</v>
      </c>
      <c r="B1423" s="64">
        <v>22603.5</v>
      </c>
      <c r="C1423" s="47">
        <f t="shared" si="110"/>
        <v>2.2569459840551254E-3</v>
      </c>
      <c r="D1423" s="65">
        <v>396.95</v>
      </c>
      <c r="E1423" s="47">
        <f t="shared" si="111"/>
        <v>3.9200809307031736E-3</v>
      </c>
      <c r="H1423" s="65">
        <v>1391.2</v>
      </c>
      <c r="I1423" s="47">
        <f t="shared" si="112"/>
        <v>-6.0017147756500355E-3</v>
      </c>
      <c r="L1423" s="65">
        <v>551.15</v>
      </c>
      <c r="M1423" s="47">
        <f t="shared" si="113"/>
        <v>-2.1725355300081794E-3</v>
      </c>
      <c r="P1423" s="65">
        <v>318.95</v>
      </c>
      <c r="Q1423" s="47">
        <f t="shared" si="114"/>
        <v>-7.7772592938248897E-3</v>
      </c>
    </row>
    <row r="1424" spans="1:17" ht="14.4" x14ac:dyDescent="0.3">
      <c r="A1424" s="63">
        <v>46293</v>
      </c>
      <c r="B1424" s="64">
        <v>22232.15</v>
      </c>
      <c r="C1424" s="47">
        <f t="shared" si="110"/>
        <v>-1.6428871634923681E-2</v>
      </c>
      <c r="D1424" s="65">
        <v>390.55</v>
      </c>
      <c r="E1424" s="47">
        <f t="shared" si="111"/>
        <v>-1.6122937397657133E-2</v>
      </c>
      <c r="H1424" s="65">
        <v>1375.6</v>
      </c>
      <c r="I1424" s="47">
        <f t="shared" si="112"/>
        <v>-1.1213341000575139E-2</v>
      </c>
      <c r="L1424" s="65">
        <v>535.65</v>
      </c>
      <c r="M1424" s="47">
        <f t="shared" si="113"/>
        <v>-2.8123015513018212E-2</v>
      </c>
      <c r="P1424" s="65">
        <v>314.64999999999998</v>
      </c>
      <c r="Q1424" s="47">
        <f t="shared" si="114"/>
        <v>-1.3481736949365164E-2</v>
      </c>
    </row>
    <row r="1425" spans="1:17" ht="14.4" x14ac:dyDescent="0.3">
      <c r="A1425" s="63">
        <v>46294</v>
      </c>
      <c r="B1425" s="64">
        <v>22101</v>
      </c>
      <c r="C1425" s="47">
        <f t="shared" si="110"/>
        <v>-5.8991145705656889E-3</v>
      </c>
      <c r="D1425" s="65">
        <v>378.35</v>
      </c>
      <c r="E1425" s="47">
        <f t="shared" si="111"/>
        <v>-3.1237997695557462E-2</v>
      </c>
      <c r="H1425" s="65">
        <v>1365.1</v>
      </c>
      <c r="I1425" s="47">
        <f t="shared" si="112"/>
        <v>-7.6330328583891216E-3</v>
      </c>
      <c r="L1425" s="65">
        <v>541.54999999999995</v>
      </c>
      <c r="M1425" s="47">
        <f t="shared" si="113"/>
        <v>1.1014655091944325E-2</v>
      </c>
      <c r="P1425" s="65">
        <v>309.85000000000002</v>
      </c>
      <c r="Q1425" s="47">
        <f t="shared" si="114"/>
        <v>-1.5255045288415592E-2</v>
      </c>
    </row>
    <row r="1426" spans="1:17" ht="14.4" x14ac:dyDescent="0.3">
      <c r="A1426" s="63">
        <v>46295</v>
      </c>
      <c r="B1426" s="64">
        <v>22072.1</v>
      </c>
      <c r="C1426" s="47">
        <f t="shared" si="110"/>
        <v>-1.3076331387720241E-3</v>
      </c>
      <c r="D1426" s="65">
        <v>377.25</v>
      </c>
      <c r="E1426" s="47">
        <f t="shared" si="111"/>
        <v>-2.9073609092110653E-3</v>
      </c>
      <c r="H1426" s="65">
        <v>1380.6</v>
      </c>
      <c r="I1426" s="47">
        <f t="shared" si="112"/>
        <v>1.1354479525309547E-2</v>
      </c>
      <c r="L1426" s="65">
        <v>531.15</v>
      </c>
      <c r="M1426" s="47">
        <f t="shared" si="113"/>
        <v>-1.9204136275505435E-2</v>
      </c>
      <c r="P1426" s="65">
        <v>303.39999999999998</v>
      </c>
      <c r="Q1426" s="47">
        <f t="shared" si="114"/>
        <v>-2.0816524124576574E-2</v>
      </c>
    </row>
    <row r="1427" spans="1:17" ht="14.4" x14ac:dyDescent="0.3">
      <c r="A1427" s="63">
        <v>46296</v>
      </c>
      <c r="B1427" s="64">
        <v>21857.75</v>
      </c>
      <c r="C1427" s="47">
        <f t="shared" si="110"/>
        <v>-9.7113550591017006E-3</v>
      </c>
      <c r="D1427" s="65">
        <v>372.35</v>
      </c>
      <c r="E1427" s="47">
        <f t="shared" si="111"/>
        <v>-1.2988734261100032E-2</v>
      </c>
      <c r="H1427" s="65">
        <v>1356.4</v>
      </c>
      <c r="I1427" s="47">
        <f t="shared" si="112"/>
        <v>-1.7528610748949625E-2</v>
      </c>
      <c r="L1427" s="65">
        <v>541.20000000000005</v>
      </c>
      <c r="M1427" s="47">
        <f t="shared" si="113"/>
        <v>1.8921208698108094E-2</v>
      </c>
      <c r="P1427" s="65">
        <v>299.8</v>
      </c>
      <c r="Q1427" s="47">
        <f t="shared" si="114"/>
        <v>-1.1865524060645893E-2</v>
      </c>
    </row>
    <row r="1428" spans="1:17" ht="14.4" x14ac:dyDescent="0.3">
      <c r="A1428" s="63">
        <v>46300</v>
      </c>
      <c r="B1428" s="64">
        <v>21971.599999999999</v>
      </c>
      <c r="C1428" s="47">
        <f t="shared" si="110"/>
        <v>5.2086788438883147E-3</v>
      </c>
      <c r="D1428" s="65">
        <v>370.55</v>
      </c>
      <c r="E1428" s="47">
        <f t="shared" si="111"/>
        <v>-4.8341614072781036E-3</v>
      </c>
      <c r="H1428" s="65">
        <v>1378.8</v>
      </c>
      <c r="I1428" s="47">
        <f t="shared" si="112"/>
        <v>1.6514302565614702E-2</v>
      </c>
      <c r="L1428" s="65">
        <v>538.9</v>
      </c>
      <c r="M1428" s="47">
        <f t="shared" si="113"/>
        <v>-4.2498152254251131E-3</v>
      </c>
      <c r="P1428" s="65">
        <v>299.25</v>
      </c>
      <c r="Q1428" s="47">
        <f t="shared" si="114"/>
        <v>-1.8345563709140089E-3</v>
      </c>
    </row>
    <row r="1429" spans="1:17" ht="14.4" x14ac:dyDescent="0.3">
      <c r="A1429" s="63">
        <v>46301</v>
      </c>
      <c r="B1429" s="64">
        <v>22202.85</v>
      </c>
      <c r="C1429" s="47">
        <f t="shared" si="110"/>
        <v>1.0524950390504051E-2</v>
      </c>
      <c r="D1429" s="65">
        <v>374.9</v>
      </c>
      <c r="E1429" s="47">
        <f t="shared" si="111"/>
        <v>1.1739306436378216E-2</v>
      </c>
      <c r="H1429" s="65">
        <v>1451.5</v>
      </c>
      <c r="I1429" s="47">
        <f t="shared" si="112"/>
        <v>5.2727008993327606E-2</v>
      </c>
      <c r="L1429" s="65">
        <v>551.5</v>
      </c>
      <c r="M1429" s="47">
        <f t="shared" si="113"/>
        <v>2.3380961217294605E-2</v>
      </c>
      <c r="P1429" s="65">
        <v>300.25</v>
      </c>
      <c r="Q1429" s="47">
        <f t="shared" si="114"/>
        <v>3.3416875522138678E-3</v>
      </c>
    </row>
    <row r="1430" spans="1:17" ht="14.4" x14ac:dyDescent="0.3">
      <c r="A1430" s="63">
        <v>46302</v>
      </c>
      <c r="B1430" s="64">
        <v>22059.9</v>
      </c>
      <c r="C1430" s="47">
        <f t="shared" si="110"/>
        <v>-6.4383626426335328E-3</v>
      </c>
      <c r="D1430" s="65">
        <v>362.5</v>
      </c>
      <c r="E1430" s="47">
        <f t="shared" si="111"/>
        <v>-3.3075486796478981E-2</v>
      </c>
      <c r="H1430" s="65">
        <v>1458.4</v>
      </c>
      <c r="I1430" s="47">
        <f t="shared" si="112"/>
        <v>4.7537030657940349E-3</v>
      </c>
      <c r="L1430" s="65">
        <v>541.35</v>
      </c>
      <c r="M1430" s="47">
        <f t="shared" si="113"/>
        <v>-1.8404351767905669E-2</v>
      </c>
      <c r="P1430" s="65">
        <v>300.7</v>
      </c>
      <c r="Q1430" s="47">
        <f t="shared" si="114"/>
        <v>1.4987510407993287E-3</v>
      </c>
    </row>
    <row r="1431" spans="1:17" ht="14.4" x14ac:dyDescent="0.3">
      <c r="A1431" s="63">
        <v>46303</v>
      </c>
      <c r="B1431" s="64">
        <v>21616.15</v>
      </c>
      <c r="C1431" s="47">
        <f t="shared" si="110"/>
        <v>-2.0115685021237617E-2</v>
      </c>
      <c r="D1431" s="65">
        <v>349.6</v>
      </c>
      <c r="E1431" s="47">
        <f t="shared" si="111"/>
        <v>-3.5586206896551675E-2</v>
      </c>
      <c r="H1431" s="65">
        <v>1401.5</v>
      </c>
      <c r="I1431" s="47">
        <f t="shared" si="112"/>
        <v>-3.9015359297860708E-2</v>
      </c>
      <c r="L1431" s="65">
        <v>517.5</v>
      </c>
      <c r="M1431" s="47">
        <f t="shared" si="113"/>
        <v>-4.4056525353283527E-2</v>
      </c>
      <c r="P1431" s="65">
        <v>290.05</v>
      </c>
      <c r="Q1431" s="47">
        <f t="shared" si="114"/>
        <v>-3.5417359494512746E-2</v>
      </c>
    </row>
    <row r="1432" spans="1:17" ht="14.4" x14ac:dyDescent="0.3">
      <c r="A1432" s="63">
        <v>46304</v>
      </c>
      <c r="B1432" s="64">
        <v>21866.65</v>
      </c>
      <c r="C1432" s="47">
        <f t="shared" si="110"/>
        <v>1.1588557629365059E-2</v>
      </c>
      <c r="D1432" s="65">
        <v>369.85</v>
      </c>
      <c r="E1432" s="47">
        <f t="shared" si="111"/>
        <v>5.7923340961098413E-2</v>
      </c>
      <c r="H1432" s="65">
        <v>1391.9</v>
      </c>
      <c r="I1432" s="47">
        <f t="shared" si="112"/>
        <v>-6.8498037816624446E-3</v>
      </c>
      <c r="L1432" s="65">
        <v>530.25</v>
      </c>
      <c r="M1432" s="47">
        <f t="shared" si="113"/>
        <v>2.4637681159420222E-2</v>
      </c>
      <c r="P1432" s="65">
        <v>298</v>
      </c>
      <c r="Q1432" s="47">
        <f t="shared" si="114"/>
        <v>2.7409067402172083E-2</v>
      </c>
    </row>
    <row r="1433" spans="1:17" ht="14.4" x14ac:dyDescent="0.3">
      <c r="A1433" s="63">
        <v>46307</v>
      </c>
      <c r="B1433" s="64">
        <v>21822.75</v>
      </c>
      <c r="C1433" s="47">
        <f t="shared" si="110"/>
        <v>-2.007623481420362E-3</v>
      </c>
      <c r="D1433" s="65">
        <v>362.45</v>
      </c>
      <c r="E1433" s="47">
        <f t="shared" si="111"/>
        <v>-2.0008111396512152E-2</v>
      </c>
      <c r="H1433" s="65">
        <v>1418.1</v>
      </c>
      <c r="I1433" s="47">
        <f t="shared" si="112"/>
        <v>1.8823191321215571E-2</v>
      </c>
      <c r="L1433" s="65">
        <v>532.4</v>
      </c>
      <c r="M1433" s="47">
        <f t="shared" si="113"/>
        <v>4.0546911834040689E-3</v>
      </c>
      <c r="P1433" s="65">
        <v>298.85000000000002</v>
      </c>
      <c r="Q1433" s="47">
        <f t="shared" si="114"/>
        <v>2.8523489932885671E-3</v>
      </c>
    </row>
    <row r="1434" spans="1:17" ht="14.4" x14ac:dyDescent="0.3">
      <c r="A1434" s="63">
        <v>46308</v>
      </c>
      <c r="B1434" s="64">
        <v>22090</v>
      </c>
      <c r="C1434" s="47">
        <f t="shared" si="110"/>
        <v>1.2246394244538328E-2</v>
      </c>
      <c r="D1434" s="65">
        <v>359.65</v>
      </c>
      <c r="E1434" s="47">
        <f t="shared" si="111"/>
        <v>-7.7252034763416466E-3</v>
      </c>
      <c r="H1434" s="65">
        <v>1417.5</v>
      </c>
      <c r="I1434" s="47">
        <f t="shared" si="112"/>
        <v>-4.2310133276912687E-4</v>
      </c>
      <c r="L1434" s="65">
        <v>528.20000000000005</v>
      </c>
      <c r="M1434" s="47">
        <f t="shared" si="113"/>
        <v>-7.8888054094664595E-3</v>
      </c>
      <c r="P1434" s="65">
        <v>303.05</v>
      </c>
      <c r="Q1434" s="47">
        <f t="shared" si="114"/>
        <v>1.4053873180525311E-2</v>
      </c>
    </row>
    <row r="1435" spans="1:17" ht="14.4" x14ac:dyDescent="0.3">
      <c r="A1435" s="63">
        <v>46309</v>
      </c>
      <c r="B1435" s="64">
        <v>22038</v>
      </c>
      <c r="C1435" s="47">
        <f t="shared" si="110"/>
        <v>-2.3540063377093245E-3</v>
      </c>
      <c r="D1435" s="65">
        <v>360.25</v>
      </c>
      <c r="E1435" s="47">
        <f t="shared" si="111"/>
        <v>1.6682886139303132E-3</v>
      </c>
      <c r="H1435" s="65">
        <v>1400.1</v>
      </c>
      <c r="I1435" s="47">
        <f t="shared" si="112"/>
        <v>-1.2275132275132328E-2</v>
      </c>
      <c r="L1435" s="65">
        <v>529.35</v>
      </c>
      <c r="M1435" s="47">
        <f t="shared" si="113"/>
        <v>2.1772056039377485E-3</v>
      </c>
      <c r="P1435" s="65">
        <v>305.39999999999998</v>
      </c>
      <c r="Q1435" s="47">
        <f t="shared" si="114"/>
        <v>7.7544959577626749E-3</v>
      </c>
    </row>
  </sheetData>
  <mergeCells count="2">
    <mergeCell ref="U3:X3"/>
    <mergeCell ref="U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 &amp; Valuation</vt:lpstr>
      <vt:lpstr>Assumptions</vt:lpstr>
      <vt:lpstr>Beta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Jimit Shah</cp:lastModifiedBy>
  <cp:revision>0</cp:revision>
  <dcterms:created xsi:type="dcterms:W3CDTF">2026-04-29T08:17:17Z</dcterms:created>
  <dcterms:modified xsi:type="dcterms:W3CDTF">2026-10-14T16:52:49Z</dcterms:modified>
  <dc:language>en-US</dc:language>
</cp:coreProperties>
</file>