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imit\Desktop\Avalon Research\Company\Transrail Lighting\"/>
    </mc:Choice>
  </mc:AlternateContent>
  <xr:revisionPtr revIDLastSave="0" documentId="13_ncr:1_{4D677420-E6C5-498C-A374-9BFF005A4F7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DCF &amp; Valuation" sheetId="1" r:id="rId1"/>
    <sheet name="Assumptions" sheetId="2" r:id="rId2"/>
    <sheet name="Beta calculatio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4" i="1" l="1"/>
  <c r="B84" i="1"/>
  <c r="Q75" i="1"/>
  <c r="P75" i="1"/>
  <c r="O75" i="1"/>
  <c r="Q74" i="1"/>
  <c r="P74" i="1"/>
  <c r="O74" i="1"/>
  <c r="K75" i="1"/>
  <c r="J75" i="1"/>
  <c r="I75" i="1"/>
  <c r="K74" i="1"/>
  <c r="J74" i="1"/>
  <c r="I74" i="1"/>
  <c r="Q73" i="1"/>
  <c r="P73" i="1"/>
  <c r="O73" i="1"/>
  <c r="K73" i="1"/>
  <c r="J73" i="1"/>
  <c r="I73" i="1"/>
  <c r="E73" i="1"/>
  <c r="D73" i="1"/>
  <c r="C73" i="1"/>
  <c r="Q71" i="1"/>
  <c r="P71" i="1"/>
  <c r="O71" i="1"/>
  <c r="E71" i="1"/>
  <c r="D71" i="1"/>
  <c r="C71" i="1"/>
  <c r="K71" i="1"/>
  <c r="J71" i="1"/>
  <c r="I71" i="1"/>
  <c r="Q69" i="1"/>
  <c r="Q70" i="1" s="1"/>
  <c r="P69" i="1"/>
  <c r="P70" i="1" s="1"/>
  <c r="O69" i="1"/>
  <c r="K69" i="1"/>
  <c r="K70" i="1" s="1"/>
  <c r="J69" i="1"/>
  <c r="I69" i="1"/>
  <c r="Q68" i="1"/>
  <c r="P68" i="1"/>
  <c r="O68" i="1"/>
  <c r="O70" i="1" s="1"/>
  <c r="K68" i="1"/>
  <c r="J68" i="1"/>
  <c r="I68" i="1"/>
  <c r="I70" i="1"/>
  <c r="J70" i="1"/>
  <c r="B27" i="1"/>
  <c r="E25" i="2"/>
  <c r="B47" i="1"/>
  <c r="B46" i="1"/>
  <c r="B44" i="1"/>
  <c r="B43" i="1"/>
  <c r="B42" i="1"/>
  <c r="B38" i="1"/>
  <c r="C27" i="2"/>
  <c r="C26" i="2"/>
  <c r="G24" i="2"/>
  <c r="G23" i="2"/>
  <c r="G25" i="2" s="1"/>
  <c r="B22" i="2" s="1"/>
  <c r="B8" i="1"/>
  <c r="I3" i="3"/>
  <c r="S8" i="3"/>
  <c r="O8" i="3"/>
  <c r="K8" i="3"/>
  <c r="G8" i="3"/>
  <c r="S6" i="3"/>
  <c r="O6" i="3"/>
  <c r="K6" i="3"/>
  <c r="G6" i="3"/>
  <c r="Q127" i="3"/>
  <c r="Q126" i="3"/>
  <c r="Q125" i="3"/>
  <c r="Q124" i="3"/>
  <c r="Q123" i="3"/>
  <c r="Q122" i="3"/>
  <c r="Q121" i="3"/>
  <c r="Q120" i="3"/>
  <c r="Q119" i="3"/>
  <c r="Q118" i="3"/>
  <c r="Q117" i="3"/>
  <c r="Q116" i="3"/>
  <c r="Q115" i="3"/>
  <c r="Q114" i="3"/>
  <c r="Q113" i="3"/>
  <c r="Q112" i="3"/>
  <c r="Q111" i="3"/>
  <c r="Q110" i="3"/>
  <c r="Q109" i="3"/>
  <c r="Q108" i="3"/>
  <c r="Q107" i="3"/>
  <c r="Q106" i="3"/>
  <c r="Q105" i="3"/>
  <c r="Q104" i="3"/>
  <c r="Q103" i="3"/>
  <c r="Q102" i="3"/>
  <c r="Q101" i="3"/>
  <c r="Q100" i="3"/>
  <c r="Q99" i="3"/>
  <c r="Q98" i="3"/>
  <c r="Q97" i="3"/>
  <c r="Q96" i="3"/>
  <c r="Q95" i="3"/>
  <c r="Q94" i="3"/>
  <c r="Q93" i="3"/>
  <c r="Q92" i="3"/>
  <c r="Q91" i="3"/>
  <c r="Q90" i="3"/>
  <c r="Q89" i="3"/>
  <c r="Q88" i="3"/>
  <c r="Q87" i="3"/>
  <c r="Q86" i="3"/>
  <c r="Q85" i="3"/>
  <c r="Q84" i="3"/>
  <c r="Q83" i="3"/>
  <c r="Q82" i="3"/>
  <c r="Q81" i="3"/>
  <c r="Q80" i="3"/>
  <c r="Q79" i="3"/>
  <c r="Q78" i="3"/>
  <c r="Q77" i="3"/>
  <c r="Q76" i="3"/>
  <c r="Q75" i="3"/>
  <c r="Q74" i="3"/>
  <c r="Q73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6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Q4" i="3"/>
  <c r="Q3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3" i="3"/>
  <c r="E8" i="2"/>
  <c r="L13" i="2"/>
  <c r="K15" i="2" s="1"/>
  <c r="B12" i="2" s="1"/>
  <c r="I17" i="2"/>
  <c r="B8" i="2"/>
  <c r="B7" i="2" s="1"/>
  <c r="B11" i="2" s="1"/>
  <c r="E11" i="2" s="1"/>
  <c r="B4" i="2"/>
  <c r="C52" i="1"/>
  <c r="C55" i="1" s="1"/>
  <c r="D52" i="1"/>
  <c r="E52" i="1"/>
  <c r="C53" i="1"/>
  <c r="D53" i="1"/>
  <c r="E53" i="1"/>
  <c r="C54" i="1"/>
  <c r="D54" i="1"/>
  <c r="E54" i="1"/>
  <c r="B55" i="1"/>
  <c r="B56" i="1"/>
  <c r="C56" i="1" s="1"/>
  <c r="B57" i="1"/>
  <c r="C57" i="1"/>
  <c r="C60" i="1"/>
  <c r="D60" i="1"/>
  <c r="E60" i="1"/>
  <c r="C61" i="1"/>
  <c r="D61" i="1"/>
  <c r="E61" i="1"/>
  <c r="C62" i="1"/>
  <c r="D62" i="1"/>
  <c r="E62" i="1"/>
  <c r="C69" i="1"/>
  <c r="D69" i="1"/>
  <c r="E69" i="1"/>
  <c r="C74" i="1"/>
  <c r="D74" i="1"/>
  <c r="E74" i="1"/>
  <c r="C75" i="1"/>
  <c r="D75" i="1"/>
  <c r="E75" i="1"/>
  <c r="B89" i="1"/>
  <c r="C89" i="1"/>
  <c r="D89" i="1"/>
  <c r="Q72" i="1" l="1"/>
  <c r="Q76" i="1" s="1"/>
  <c r="Q77" i="1" s="1"/>
  <c r="P72" i="1"/>
  <c r="P76" i="1" s="1"/>
  <c r="P77" i="1" s="1"/>
  <c r="O72" i="1"/>
  <c r="O76" i="1" s="1"/>
  <c r="O77" i="1" s="1"/>
  <c r="K72" i="1"/>
  <c r="K76" i="1" s="1"/>
  <c r="K77" i="1" s="1"/>
  <c r="J72" i="1"/>
  <c r="J76" i="1" s="1"/>
  <c r="J77" i="1" s="1"/>
  <c r="I72" i="1"/>
  <c r="I76" i="1" s="1"/>
  <c r="I77" i="1" s="1"/>
  <c r="D57" i="1"/>
  <c r="C65" i="1"/>
  <c r="U4" i="3"/>
  <c r="B15" i="2" s="1"/>
  <c r="B18" i="2" s="1"/>
  <c r="B40" i="1" s="1"/>
  <c r="B41" i="1"/>
  <c r="B24" i="2"/>
  <c r="D65" i="1"/>
  <c r="E57" i="1"/>
  <c r="E65" i="1" s="1"/>
  <c r="D81" i="1" s="1"/>
  <c r="D82" i="1" s="1"/>
  <c r="E12" i="2"/>
  <c r="B13" i="2" s="1"/>
  <c r="B39" i="1" s="1"/>
  <c r="S3" i="3"/>
  <c r="O3" i="3"/>
  <c r="K3" i="3"/>
  <c r="G3" i="3"/>
  <c r="C64" i="1"/>
  <c r="C68" i="1" s="1"/>
  <c r="C70" i="1" s="1"/>
  <c r="D56" i="1"/>
  <c r="C63" i="1"/>
  <c r="D55" i="1"/>
  <c r="B11" i="1"/>
  <c r="B12" i="1" s="1"/>
  <c r="B20" i="2" l="1"/>
  <c r="B29" i="2" s="1"/>
  <c r="B45" i="1" s="1"/>
  <c r="D83" i="1" s="1"/>
  <c r="B86" i="1"/>
  <c r="C86" i="1"/>
  <c r="D86" i="1"/>
  <c r="D63" i="1"/>
  <c r="E55" i="1"/>
  <c r="E63" i="1" s="1"/>
  <c r="B81" i="1" s="1"/>
  <c r="B82" i="1" s="1"/>
  <c r="D64" i="1"/>
  <c r="D68" i="1" s="1"/>
  <c r="D70" i="1" s="1"/>
  <c r="E56" i="1"/>
  <c r="E64" i="1" s="1"/>
  <c r="C72" i="1"/>
  <c r="C76" i="1" s="1"/>
  <c r="B83" i="1" l="1"/>
  <c r="C77" i="1"/>
  <c r="E68" i="1"/>
  <c r="E70" i="1" s="1"/>
  <c r="C81" i="1"/>
  <c r="C82" i="1" s="1"/>
  <c r="C83" i="1" s="1"/>
  <c r="D72" i="1"/>
  <c r="D76" i="1" s="1"/>
  <c r="D77" i="1" s="1"/>
  <c r="E72" i="1" l="1"/>
  <c r="E76" i="1" s="1"/>
  <c r="E77" i="1" s="1"/>
  <c r="B94" i="1" l="1"/>
  <c r="D96" i="1"/>
  <c r="F98" i="1"/>
  <c r="B97" i="1"/>
  <c r="B95" i="1"/>
  <c r="D97" i="1"/>
  <c r="E95" i="1"/>
  <c r="E98" i="1"/>
  <c r="C94" i="1"/>
  <c r="E96" i="1"/>
  <c r="B99" i="1"/>
  <c r="E94" i="1"/>
  <c r="D99" i="1"/>
  <c r="F94" i="1"/>
  <c r="C97" i="1"/>
  <c r="E99" i="1"/>
  <c r="F99" i="1"/>
  <c r="E97" i="1"/>
  <c r="D95" i="1"/>
  <c r="F95" i="1"/>
  <c r="D98" i="1"/>
  <c r="D94" i="1"/>
  <c r="F96" i="1"/>
  <c r="C99" i="1"/>
  <c r="C95" i="1"/>
  <c r="F97" i="1"/>
  <c r="B98" i="1"/>
  <c r="C98" i="1"/>
  <c r="B96" i="1"/>
  <c r="C96" i="1"/>
  <c r="C84" i="1" l="1"/>
  <c r="C85" i="1" s="1"/>
  <c r="C87" i="1" s="1"/>
  <c r="C88" i="1" s="1"/>
  <c r="C90" i="1" s="1"/>
  <c r="D85" i="1"/>
  <c r="D87" i="1" s="1"/>
  <c r="D88" i="1" s="1"/>
  <c r="D90" i="1" s="1"/>
  <c r="B85" i="1"/>
  <c r="B87" i="1" s="1"/>
  <c r="B88" i="1" s="1"/>
  <c r="B9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tc={C3BE5A5D-1D32-4098-9D3D-0CD2001E2BF2}</author>
    <author>tc={1B62757F-E698-4B14-9CD9-EB7089CD2CD9}</author>
    <author>tc={C8C41152-A381-441A-8E09-BE73F35C132B}</author>
    <author>tc={2D61F417-7FED-46E3-A656-2E1041A19E9F}</author>
    <author>tc={94E49853-4D1B-44BA-A3B4-0BE346AC0A9A}</author>
  </authors>
  <commentList>
    <comment ref="L13" authorId="0" shapeId="0" xr:uid="{C3BE5A5D-1D32-4098-9D3D-0CD2001E2BF2}">
      <text>
        <t>[Threaded comment]
Your version of Excel allows you to read this threaded comment; however, any edits to it will get removed if the file is opened in a newer version of Excel. Learn more: https://go.microsoft.com/fwlink/?linkid=870924
Comment:
    Taken a general average of all countries ERP as no specific per country revenue figures available
Safest assumption is a general average</t>
      </text>
    </comment>
    <comment ref="I17" authorId="1" shapeId="0" xr:uid="{1B62757F-E698-4B14-9CD9-EB7089CD2CD9}">
      <text>
        <t>[Threaded comment]
Your version of Excel allows you to read this threaded comment; however, any edits to it will get removed if the file is opened in a newer version of Excel. Learn more: https://go.microsoft.com/fwlink/?linkid=870924
Comment:
    Taken a general average of all countries ERP as no specific per country revenue figures available
Safest assumption is a general average</t>
      </text>
    </comment>
    <comment ref="F23" authorId="2" shapeId="0" xr:uid="{C8C41152-A381-441A-8E09-BE73F35C132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ECLGS loans carry an interest rate ranging from 7.95% to 9.25% </t>
      </text>
    </comment>
    <comment ref="D24" authorId="3" shapeId="0" xr:uid="{2D61F417-7FED-46E3-A656-2E1041A19E9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Cash Credit , Working Capital Demand Loan </t>
      </text>
    </comment>
    <comment ref="F24" authorId="4" shapeId="0" xr:uid="{94E49853-4D1B-44BA-A3B4-0BE346AC0A9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Cash credit facility &amp; WCDL carries an interest rate ranging from 10.15% to 12.45% </t>
      </text>
    </comment>
  </commentList>
</comments>
</file>

<file path=xl/sharedStrings.xml><?xml version="1.0" encoding="utf-8"?>
<sst xmlns="http://schemas.openxmlformats.org/spreadsheetml/2006/main" count="236" uniqueCount="170">
  <si>
    <t>Input Parameter</t>
  </si>
  <si>
    <t>Value</t>
  </si>
  <si>
    <t>Notes / Source</t>
  </si>
  <si>
    <t>Company Name</t>
  </si>
  <si>
    <t>Shares Outstanding (Cr.)</t>
  </si>
  <si>
    <t>CMP (₹)</t>
  </si>
  <si>
    <t>Live or last traded price</t>
  </si>
  <si>
    <t>Market Cap (₹ Cr.)</t>
  </si>
  <si>
    <t>Total Debt (₹ Cr.)</t>
  </si>
  <si>
    <t>Latest balance sheet</t>
  </si>
  <si>
    <t>Cash &amp; Equivalents (₹ Cr.)</t>
  </si>
  <si>
    <t>Net Debt (₹ Cr.)</t>
  </si>
  <si>
    <t>Enterprise Value @ CMP (₹ Cr.)</t>
  </si>
  <si>
    <t>Assumption</t>
  </si>
  <si>
    <t>FY27E</t>
  </si>
  <si>
    <t>FY28E</t>
  </si>
  <si>
    <t>FY29E</t>
  </si>
  <si>
    <t>Bear Case — Revenue Growth %</t>
  </si>
  <si>
    <t>Base Case — Revenue Growth %</t>
  </si>
  <si>
    <t>Bull Case — Revenue Growth %</t>
  </si>
  <si>
    <t>Bear Case — EBITDA Margin %</t>
  </si>
  <si>
    <t>Base Case — EBITDA Margin %</t>
  </si>
  <si>
    <t>Bull Case — EBITDA Margin %</t>
  </si>
  <si>
    <t>Tax Rate %</t>
  </si>
  <si>
    <t>Cost of Debt (pre-tax %)</t>
  </si>
  <si>
    <t>Tax Rate for WACC %</t>
  </si>
  <si>
    <t>Total Equity (₹ Cr.)</t>
  </si>
  <si>
    <t>Terminal Growth Rate %</t>
  </si>
  <si>
    <t>EV/EBITDA Exit Multiple (x)</t>
  </si>
  <si>
    <t>FY26A</t>
  </si>
  <si>
    <t>Bear Case — Revenue (₹ Cr.)</t>
  </si>
  <si>
    <t>Base Case — Revenue (₹ Cr.)</t>
  </si>
  <si>
    <t>Bull Case — Revenue (₹ Cr.)</t>
  </si>
  <si>
    <t>Bear Case — EBITDA (₹ Cr.)</t>
  </si>
  <si>
    <t>Base Case — EBITDA (₹ Cr.)</t>
  </si>
  <si>
    <t>Bull Case — EBITDA (₹ Cr.)</t>
  </si>
  <si>
    <t>EBITDA</t>
  </si>
  <si>
    <t>(-) Depreciation &amp; Amort.</t>
  </si>
  <si>
    <t>EBIT</t>
  </si>
  <si>
    <t>(-) Tax on EBIT</t>
  </si>
  <si>
    <t>NOPAT</t>
  </si>
  <si>
    <t>(+) D&amp;A add-back</t>
  </si>
  <si>
    <t>(-) Maintenance Capex</t>
  </si>
  <si>
    <t>(-) Δ Net Working Capital</t>
  </si>
  <si>
    <t>FCFF</t>
  </si>
  <si>
    <t>WACC</t>
  </si>
  <si>
    <t>Metric</t>
  </si>
  <si>
    <t>WACC ↓  /  TGR →</t>
  </si>
  <si>
    <t>TRANSRAILL</t>
  </si>
  <si>
    <t>Transrail Lighting</t>
  </si>
  <si>
    <t>Beta (Levered)</t>
  </si>
  <si>
    <t>Bear Case
(₹ Cr.)</t>
  </si>
  <si>
    <t>Base Case
(₹ Cr.)</t>
  </si>
  <si>
    <t>Bull Case
(₹ Cr.)</t>
  </si>
  <si>
    <t>FY29E EBITDA  (₹ Cr.)</t>
  </si>
  <si>
    <t>PV of Terminal Value  (₹ Cr.)</t>
  </si>
  <si>
    <t>Enterprise Value  (₹ Cr.)</t>
  </si>
  <si>
    <t>(-) Net Debt  (₹ Cr.)</t>
  </si>
  <si>
    <t>Equity Value  (₹ Cr.)</t>
  </si>
  <si>
    <t>Equity Value / Share  (₹)</t>
  </si>
  <si>
    <t>Upside / (Downside)  %</t>
  </si>
  <si>
    <t>Terminal Value  @Multiple× EV/EBITDA  (₹ Cr.)</t>
  </si>
  <si>
    <t>NSE/BSE Ticker</t>
  </si>
  <si>
    <t>Particulars</t>
  </si>
  <si>
    <t>Rf</t>
  </si>
  <si>
    <t>10y Gov Bond</t>
  </si>
  <si>
    <t>Bond default spread</t>
  </si>
  <si>
    <t>Mature market ERP</t>
  </si>
  <si>
    <t>India country risk premium</t>
  </si>
  <si>
    <t>Default spread</t>
  </si>
  <si>
    <t>SD Equity</t>
  </si>
  <si>
    <t>SD Bond</t>
  </si>
  <si>
    <t>India ERP</t>
  </si>
  <si>
    <t>MENA EPR</t>
  </si>
  <si>
    <t>Domestic</t>
  </si>
  <si>
    <t>International</t>
  </si>
  <si>
    <t>ERP</t>
  </si>
  <si>
    <t>Abu Dhabi</t>
  </si>
  <si>
    <t>Bahrain</t>
  </si>
  <si>
    <t>Iraq</t>
  </si>
  <si>
    <t>Israel</t>
  </si>
  <si>
    <t>Kuwait</t>
  </si>
  <si>
    <t>Lebanon</t>
  </si>
  <si>
    <t>Oman</t>
  </si>
  <si>
    <t>Qatar</t>
  </si>
  <si>
    <t>Saudi Arabia</t>
  </si>
  <si>
    <t>United Arab Emirates</t>
  </si>
  <si>
    <t>Algeria</t>
  </si>
  <si>
    <t>Iran</t>
  </si>
  <si>
    <t>Libya</t>
  </si>
  <si>
    <t xml:space="preserve">Jordan </t>
  </si>
  <si>
    <t>Egypt</t>
  </si>
  <si>
    <t>Morocco</t>
  </si>
  <si>
    <t>Tunisia</t>
  </si>
  <si>
    <t>Total ERP</t>
  </si>
  <si>
    <t>Unlevered beta (Sector)</t>
  </si>
  <si>
    <t>KEC International</t>
  </si>
  <si>
    <t>Kalpataru Projects</t>
  </si>
  <si>
    <t xml:space="preserve">Skipper </t>
  </si>
  <si>
    <t>NIFTY50</t>
  </si>
  <si>
    <t>Bajaj electricals</t>
  </si>
  <si>
    <t>Date</t>
  </si>
  <si>
    <t>debt to equity</t>
  </si>
  <si>
    <t>Tax rate</t>
  </si>
  <si>
    <t>unlevered beta</t>
  </si>
  <si>
    <t xml:space="preserve">% Revenue of Total </t>
  </si>
  <si>
    <t>Total weighted avg unlevered beta</t>
  </si>
  <si>
    <t>Target D/E</t>
  </si>
  <si>
    <t>Re-levered beta</t>
  </si>
  <si>
    <t>Cost of equity</t>
  </si>
  <si>
    <t>Middle East Countries</t>
  </si>
  <si>
    <t>North Africa Countries</t>
  </si>
  <si>
    <t>Yemen</t>
  </si>
  <si>
    <t>Face Value</t>
  </si>
  <si>
    <t>Equity capital/FV</t>
  </si>
  <si>
    <t>Long term + Short term</t>
  </si>
  <si>
    <t>Total debt - Cash</t>
  </si>
  <si>
    <t>EV = Market Cap + Net Debt</t>
  </si>
  <si>
    <t>Revenue weighted ERP</t>
  </si>
  <si>
    <t>Revenue sources (%)</t>
  </si>
  <si>
    <t>Pretax cost of debt</t>
  </si>
  <si>
    <t>Facility</t>
  </si>
  <si>
    <t>Rate</t>
  </si>
  <si>
    <t>Weighted cost</t>
  </si>
  <si>
    <t>LT Term Loans</t>
  </si>
  <si>
    <t>ST CC/WCDL</t>
  </si>
  <si>
    <t>FY25 Amount</t>
  </si>
  <si>
    <t>Post tax cost of debt</t>
  </si>
  <si>
    <t>Total Debt (FY26E)</t>
  </si>
  <si>
    <t>Total Equity (FY26E)</t>
  </si>
  <si>
    <t>Bear Case - Revenue Growth %</t>
  </si>
  <si>
    <t>Base Case - Revenue Growth %</t>
  </si>
  <si>
    <t>Bull Case - Revenue Growth %</t>
  </si>
  <si>
    <t>CMP &amp; Company Input</t>
  </si>
  <si>
    <t>Assumptions (Revenue growth &amp; EBITDA Margins)</t>
  </si>
  <si>
    <t>Equity Risk Premium %</t>
  </si>
  <si>
    <t>Risk-free Rate (IN10Y yield-Bond default spread)</t>
  </si>
  <si>
    <t>Terminal growth rate %</t>
  </si>
  <si>
    <t>EV/EBITDA Exit multiple</t>
  </si>
  <si>
    <t>PV of FCFF</t>
  </si>
  <si>
    <t>D&amp;A (₹ Cr.) - FY27E</t>
  </si>
  <si>
    <t>D&amp;A (₹ Cr.) - FY28E</t>
  </si>
  <si>
    <t>D&amp;A (₹ Cr.) - FY29E</t>
  </si>
  <si>
    <t xml:space="preserve"> Capex (₹ Cr.) - FY27E</t>
  </si>
  <si>
    <t xml:space="preserve"> Capex (₹ Cr.) - FY28E</t>
  </si>
  <si>
    <t xml:space="preserve"> Capex (₹ Cr.) - FY29E</t>
  </si>
  <si>
    <t>Δ NWC (₹ Cr.) - FY27E</t>
  </si>
  <si>
    <t>Δ NWC (₹ Cr.) - FY28E</t>
  </si>
  <si>
    <t>Δ NWC (₹ Cr.) - FY29E</t>
  </si>
  <si>
    <t>% return</t>
  </si>
  <si>
    <t>Levered beta</t>
  </si>
  <si>
    <t>Revenue (₹ Cr.)</t>
  </si>
  <si>
    <t>MENA Region ERP</t>
  </si>
  <si>
    <t>Revenue Assumptions  (₹ Cr.)</t>
  </si>
  <si>
    <t>EBITDA Margins Assumptions</t>
  </si>
  <si>
    <t>FCFF / Bridge Assumptions</t>
  </si>
  <si>
    <t>WACC Assumptions</t>
  </si>
  <si>
    <t xml:space="preserve">DCF &amp; Valuation Model  (₹ Cr.)  </t>
  </si>
  <si>
    <t>Revenue Scenarios  (₹ Cr.)</t>
  </si>
  <si>
    <t>EBITDA Bridge - Margin × Revenue  (₹ Cr.)</t>
  </si>
  <si>
    <t>Changes made in "Assumptions" sheet will get reflected here</t>
  </si>
  <si>
    <t>FCFF Waterfall - Bear Case (₹ Cr.)</t>
  </si>
  <si>
    <t>FCFF Waterfall - Base Case (₹ Cr.)</t>
  </si>
  <si>
    <t>FCFF Waterfall - Bull Case (₹ Cr.)</t>
  </si>
  <si>
    <t xml:space="preserve">VALUATION TABLE  — Bear / Base / Bull  (₹ Cr. and ₹ per share) - EV/EBITDA Exit Multiple </t>
  </si>
  <si>
    <t>Implied Equity Value/Share (₹)  Using GGM |  WACC (rows) × Terminal Growth Rate (columns)</t>
  </si>
  <si>
    <t>Base Input (FY26)</t>
  </si>
  <si>
    <t>FY26 Revenue (₹ Cr.)</t>
  </si>
  <si>
    <t>PV of FCFFs  FY27-29  (₹ Cr.)</t>
  </si>
  <si>
    <t>CMP  (₹) - live from CMP Input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</si>
</sst>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 &quot;₹&quot;\ * #,##0.00_ ;_ &quot;₹&quot;\ * \-#,##0.00_ ;_ &quot;₹&quot;\ * &quot;-&quot;??_ ;_ @_ "/>
    <numFmt numFmtId="164" formatCode="#,##0.00;\(#,##0.00\);\-"/>
    <numFmt numFmtId="165" formatCode="0.0%;\-0.0%;&quot;- &quot;"/>
    <numFmt numFmtId="166" formatCode="0.0"/>
    <numFmt numFmtId="167" formatCode="#,##0.0000000000000"/>
    <numFmt numFmtId="168" formatCode="0.00%;\-0.00%;&quot;- &quot;"/>
    <numFmt numFmtId="169" formatCode="0.0%"/>
    <numFmt numFmtId="173" formatCode="0.0000"/>
  </numFmts>
  <fonts count="15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theme="1"/>
      <name val="Calibri"/>
      <family val="2"/>
      <charset val="1"/>
    </font>
    <font>
      <sz val="10"/>
      <color theme="1"/>
      <name val="Calibri"/>
      <family val="2"/>
      <scheme val="minor"/>
    </font>
    <font>
      <i/>
      <sz val="10"/>
      <color rgb="FF666666"/>
      <name val="Calibri"/>
      <family val="2"/>
      <scheme val="minor"/>
    </font>
    <font>
      <sz val="10"/>
      <color rgb="FF0000FF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FF"/>
      <name val="Calibri"/>
      <family val="2"/>
      <scheme val="minor"/>
    </font>
    <font>
      <i/>
      <sz val="10"/>
      <color theme="0" tint="-0.499984740745262"/>
      <name val="Calibri"/>
      <family val="2"/>
      <scheme val="minor"/>
    </font>
    <font>
      <sz val="10"/>
      <color theme="0" tint="-0.499984740745262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2D3D"/>
        <bgColor rgb="FF003366"/>
      </patternFill>
    </fill>
    <fill>
      <patternFill patternType="solid">
        <fgColor rgb="FF0D5C63"/>
        <bgColor rgb="FF008080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Border="0" applyAlignment="0" applyProtection="0"/>
    <xf numFmtId="44" fontId="7" fillId="0" borderId="0" applyFont="0" applyFill="0" applyBorder="0" applyAlignment="0" applyProtection="0"/>
  </cellStyleXfs>
  <cellXfs count="73">
    <xf numFmtId="0" fontId="0" fillId="0" borderId="0" xfId="0"/>
    <xf numFmtId="9" fontId="6" fillId="0" borderId="0" xfId="1" applyFont="1" applyBorder="1" applyAlignment="1">
      <alignment horizontal="center"/>
    </xf>
    <xf numFmtId="165" fontId="2" fillId="7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4" fillId="7" borderId="0" xfId="0" applyNumberFormat="1" applyFont="1" applyFill="1" applyAlignment="1">
      <alignment horizontal="center" vertical="center"/>
    </xf>
    <xf numFmtId="164" fontId="5" fillId="7" borderId="0" xfId="0" applyNumberFormat="1" applyFont="1" applyFill="1" applyAlignment="1">
      <alignment horizontal="center" vertical="center"/>
    </xf>
    <xf numFmtId="164" fontId="8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/>
    </xf>
    <xf numFmtId="0" fontId="5" fillId="7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10" fontId="10" fillId="6" borderId="0" xfId="0" applyNumberFormat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0" fontId="6" fillId="0" borderId="0" xfId="1" applyNumberFormat="1" applyFont="1" applyAlignment="1">
      <alignment horizontal="center" vertical="center"/>
    </xf>
    <xf numFmtId="10" fontId="10" fillId="0" borderId="0" xfId="1" applyNumberFormat="1" applyFont="1" applyAlignment="1">
      <alignment horizontal="center" vertical="center"/>
    </xf>
    <xf numFmtId="10" fontId="8" fillId="0" borderId="0" xfId="0" applyNumberFormat="1" applyFont="1" applyAlignment="1">
      <alignment horizontal="center" vertical="center"/>
    </xf>
    <xf numFmtId="9" fontId="8" fillId="0" borderId="0" xfId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10" fontId="11" fillId="7" borderId="0" xfId="0" applyNumberFormat="1" applyFont="1" applyFill="1" applyAlignment="1">
      <alignment horizontal="center" vertical="center"/>
    </xf>
    <xf numFmtId="169" fontId="6" fillId="0" borderId="0" xfId="1" applyNumberFormat="1" applyFont="1" applyAlignment="1">
      <alignment horizontal="center" vertical="center"/>
    </xf>
    <xf numFmtId="0" fontId="10" fillId="6" borderId="0" xfId="1" applyNumberFormat="1" applyFont="1" applyFill="1" applyAlignment="1">
      <alignment horizontal="center" vertical="center"/>
    </xf>
    <xf numFmtId="10" fontId="2" fillId="7" borderId="0" xfId="1" applyNumberFormat="1" applyFont="1" applyFill="1" applyAlignment="1">
      <alignment horizontal="center" vertical="center"/>
    </xf>
    <xf numFmtId="9" fontId="10" fillId="6" borderId="0" xfId="0" applyNumberFormat="1" applyFont="1" applyFill="1" applyAlignment="1">
      <alignment horizontal="center" vertical="center"/>
    </xf>
    <xf numFmtId="9" fontId="12" fillId="6" borderId="0" xfId="0" applyNumberFormat="1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2" fontId="10" fillId="6" borderId="0" xfId="0" applyNumberFormat="1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/>
    </xf>
    <xf numFmtId="167" fontId="8" fillId="0" borderId="0" xfId="0" applyNumberFormat="1" applyFont="1" applyAlignment="1">
      <alignment horizontal="center"/>
    </xf>
    <xf numFmtId="164" fontId="10" fillId="5" borderId="0" xfId="0" applyNumberFormat="1" applyFont="1" applyFill="1" applyAlignment="1">
      <alignment horizontal="center" vertical="center"/>
    </xf>
    <xf numFmtId="165" fontId="10" fillId="5" borderId="0" xfId="0" applyNumberFormat="1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168" fontId="8" fillId="0" borderId="0" xfId="0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0" fontId="6" fillId="0" borderId="0" xfId="1" applyNumberFormat="1" applyFont="1" applyAlignment="1">
      <alignment horizontal="center"/>
    </xf>
    <xf numFmtId="2" fontId="2" fillId="7" borderId="0" xfId="1" applyNumberFormat="1" applyFont="1" applyFill="1" applyAlignment="1">
      <alignment horizontal="center"/>
    </xf>
    <xf numFmtId="10" fontId="6" fillId="7" borderId="0" xfId="1" applyNumberFormat="1" applyFont="1" applyFill="1" applyAlignment="1">
      <alignment horizontal="center"/>
    </xf>
    <xf numFmtId="2" fontId="6" fillId="7" borderId="0" xfId="1" applyNumberFormat="1" applyFont="1" applyFill="1" applyAlignment="1">
      <alignment horizontal="center"/>
    </xf>
    <xf numFmtId="0" fontId="11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0" fontId="11" fillId="7" borderId="0" xfId="0" applyFont="1" applyFill="1" applyAlignment="1">
      <alignment horizontal="center"/>
    </xf>
    <xf numFmtId="2" fontId="10" fillId="0" borderId="0" xfId="0" applyNumberFormat="1" applyFont="1" applyAlignment="1">
      <alignment horizontal="center"/>
    </xf>
    <xf numFmtId="0" fontId="10" fillId="7" borderId="0" xfId="1" applyNumberFormat="1" applyFont="1" applyFill="1" applyAlignment="1">
      <alignment horizontal="center"/>
    </xf>
    <xf numFmtId="10" fontId="10" fillId="7" borderId="0" xfId="1" applyNumberFormat="1" applyFont="1" applyFill="1" applyAlignment="1">
      <alignment horizontal="center"/>
    </xf>
    <xf numFmtId="44" fontId="10" fillId="7" borderId="0" xfId="2" applyFont="1" applyFill="1" applyAlignment="1">
      <alignment horizontal="center" vertical="center"/>
    </xf>
    <xf numFmtId="44" fontId="10" fillId="7" borderId="0" xfId="2" applyFont="1" applyFill="1" applyAlignment="1">
      <alignment horizontal="center"/>
    </xf>
    <xf numFmtId="14" fontId="8" fillId="0" borderId="0" xfId="0" applyNumberFormat="1" applyFont="1" applyAlignment="1">
      <alignment horizontal="center"/>
    </xf>
    <xf numFmtId="0" fontId="6" fillId="0" borderId="0" xfId="1" applyNumberFormat="1" applyFont="1" applyAlignment="1">
      <alignment horizontal="center"/>
    </xf>
    <xf numFmtId="0" fontId="11" fillId="7" borderId="0" xfId="0" applyFont="1" applyFill="1" applyAlignment="1">
      <alignment horizontal="center"/>
    </xf>
    <xf numFmtId="2" fontId="2" fillId="7" borderId="0" xfId="1" applyNumberFormat="1" applyFont="1" applyFill="1" applyAlignment="1">
      <alignment horizontal="center"/>
    </xf>
    <xf numFmtId="0" fontId="9" fillId="0" borderId="0" xfId="0" applyFont="1" applyAlignment="1">
      <alignment horizontal="center" vertical="center" wrapText="1"/>
    </xf>
    <xf numFmtId="0" fontId="3" fillId="3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173" fontId="10" fillId="5" borderId="0" xfId="0" applyNumberFormat="1" applyFont="1" applyFill="1" applyAlignment="1">
      <alignment horizontal="center" vertical="center"/>
    </xf>
    <xf numFmtId="9" fontId="6" fillId="7" borderId="0" xfId="1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4" fillId="7" borderId="0" xfId="0" applyFont="1" applyFill="1" applyAlignment="1">
      <alignment horizontal="center" vertical="center" wrapText="1"/>
    </xf>
    <xf numFmtId="2" fontId="11" fillId="7" borderId="0" xfId="0" applyNumberFormat="1" applyFont="1" applyFill="1" applyAlignment="1">
      <alignment horizontal="center" vertical="center"/>
    </xf>
  </cellXfs>
  <cellStyles count="3">
    <cellStyle name="Currency" xfId="2" builtinId="4"/>
    <cellStyle name="Normal" xfId="0" builtinId="0"/>
    <cellStyle name="Percent" xfId="1" builtinId="5"/>
  </cellStyles>
  <dxfs count="3">
    <dxf>
      <fill>
        <patternFill>
          <bgColor theme="6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6" tint="0.59996337778862885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D5C63"/>
      <rgbColor rgb="FFC0C0C0"/>
      <rgbColor rgb="FF808080"/>
      <rgbColor rgb="FF9999FF"/>
      <rgbColor rgb="FF993366"/>
      <rgbColor rgb="FFFFF2CC"/>
      <rgbColor rgb="FFE8F4F5"/>
      <rgbColor rgb="FF660066"/>
      <rgbColor rgb="FFFF8080"/>
      <rgbColor rgb="FF0066CC"/>
      <rgbColor rgb="FFFCE4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F2F2F2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D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27</xdr:row>
      <xdr:rowOff>0</xdr:rowOff>
    </xdr:from>
    <xdr:to>
      <xdr:col>9</xdr:col>
      <xdr:colOff>304800</xdr:colOff>
      <xdr:row>28</xdr:row>
      <xdr:rowOff>130026</xdr:rowOff>
    </xdr:to>
    <xdr:sp macro="" textlink="">
      <xdr:nvSpPr>
        <xdr:cNvPr id="2051" name="AutoShape 3" descr="Estimated default spreads by credit rating">
          <a:extLst>
            <a:ext uri="{FF2B5EF4-FFF2-40B4-BE49-F238E27FC236}">
              <a16:creationId xmlns:a16="http://schemas.microsoft.com/office/drawing/2014/main" id="{DBF3EA6D-1176-165D-39AD-32354A429421}"/>
            </a:ext>
          </a:extLst>
        </xdr:cNvPr>
        <xdr:cNvSpPr>
          <a:spLocks noChangeAspect="1" noChangeArrowheads="1"/>
        </xdr:cNvSpPr>
      </xdr:nvSpPr>
      <xdr:spPr bwMode="auto">
        <a:xfrm>
          <a:off x="8625840" y="4937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Jimit Shah" id="{AE3CC418-49F0-4084-B8E2-0B31DAD9EEC0}" userId="02d5c67f83811829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3" dT="2026-05-14T16:08:21.58" personId="{AE3CC418-49F0-4084-B8E2-0B31DAD9EEC0}" id="{C3BE5A5D-1D32-4098-9D3D-0CD2001E2BF2}">
    <text>Taken a general average of all countries ERP as no specific per country revenue figures available
Safest assumption is a general average</text>
  </threadedComment>
  <threadedComment ref="I17" dT="2026-05-14T16:08:12.21" personId="{AE3CC418-49F0-4084-B8E2-0B31DAD9EEC0}" id="{1B62757F-E698-4B14-9CD9-EB7089CD2CD9}">
    <text>Taken a general average of all countries ERP as no specific per country revenue figures available
Safest assumption is a general average</text>
  </threadedComment>
  <threadedComment ref="F23" dT="2026-05-14T12:46:30.54" personId="{AE3CC418-49F0-4084-B8E2-0B31DAD9EEC0}" id="{C8C41152-A381-441A-8E09-BE73F35C132B}">
    <text xml:space="preserve">ECLGS loans carry an interest rate ranging from 7.95% to 9.25% </text>
  </threadedComment>
  <threadedComment ref="D24" dT="2026-05-14T12:43:15.20" personId="{AE3CC418-49F0-4084-B8E2-0B31DAD9EEC0}" id="{2D61F417-7FED-46E3-A656-2E1041A19E9F}">
    <text xml:space="preserve">Cash Credit , Working Capital Demand Loan </text>
  </threadedComment>
  <threadedComment ref="F24" dT="2026-05-14T12:46:41.94" personId="{AE3CC418-49F0-4084-B8E2-0B31DAD9EEC0}" id="{94E49853-4D1B-44BA-A3B4-0BE346AC0A9A}">
    <text xml:space="preserve">Cash credit facility &amp; WCDL carries an interest rate ranging from 10.15% to 12.45% 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15"/>
  <sheetViews>
    <sheetView topLeftCell="A90" zoomScale="135" zoomScaleNormal="126" workbookViewId="0">
      <selection activeCell="C38" sqref="C38:C47"/>
    </sheetView>
  </sheetViews>
  <sheetFormatPr defaultColWidth="8.6640625" defaultRowHeight="13.8" x14ac:dyDescent="0.3"/>
  <cols>
    <col min="1" max="1" width="41.88671875" style="12" bestFit="1" customWidth="1"/>
    <col min="2" max="2" width="18" style="12" customWidth="1"/>
    <col min="3" max="3" width="23.6640625" style="12" bestFit="1" customWidth="1"/>
    <col min="4" max="4" width="9.33203125" style="12" bestFit="1" customWidth="1"/>
    <col min="5" max="6" width="9" style="12" bestFit="1" customWidth="1"/>
    <col min="7" max="7" width="20.77734375" style="12" bestFit="1" customWidth="1"/>
    <col min="8" max="8" width="13.5546875" style="12" bestFit="1" customWidth="1"/>
    <col min="9" max="12" width="8.6640625" style="12"/>
    <col min="13" max="13" width="20.77734375" style="12" bestFit="1" customWidth="1"/>
    <col min="14" max="16384" width="8.6640625" style="12"/>
  </cols>
  <sheetData>
    <row r="1" spans="1:5" ht="27.75" customHeight="1" x14ac:dyDescent="0.3">
      <c r="A1" s="66" t="s">
        <v>133</v>
      </c>
      <c r="B1" s="66"/>
      <c r="C1" s="66"/>
    </row>
    <row r="2" spans="1:5" ht="15" customHeight="1" x14ac:dyDescent="0.3">
      <c r="A2" s="4" t="s">
        <v>0</v>
      </c>
      <c r="B2" s="4" t="s">
        <v>1</v>
      </c>
      <c r="C2" s="4" t="s">
        <v>2</v>
      </c>
    </row>
    <row r="3" spans="1:5" ht="15" customHeight="1" x14ac:dyDescent="0.3">
      <c r="A3" s="13" t="s">
        <v>3</v>
      </c>
      <c r="B3" s="38" t="s">
        <v>49</v>
      </c>
      <c r="C3" s="39"/>
    </row>
    <row r="4" spans="1:5" ht="15" customHeight="1" x14ac:dyDescent="0.3">
      <c r="A4" s="13" t="s">
        <v>62</v>
      </c>
      <c r="B4" s="38" t="s">
        <v>48</v>
      </c>
      <c r="C4" s="39"/>
    </row>
    <row r="5" spans="1:5" ht="15" customHeight="1" x14ac:dyDescent="0.3">
      <c r="A5" s="13" t="s">
        <v>113</v>
      </c>
      <c r="B5" s="38">
        <v>2</v>
      </c>
      <c r="C5" s="39"/>
    </row>
    <row r="6" spans="1:5" ht="15" customHeight="1" x14ac:dyDescent="0.3">
      <c r="A6" s="13" t="s">
        <v>4</v>
      </c>
      <c r="B6" s="68">
        <v>13.3775</v>
      </c>
      <c r="C6" s="70" t="s">
        <v>114</v>
      </c>
    </row>
    <row r="7" spans="1:5" ht="15" customHeight="1" x14ac:dyDescent="0.3">
      <c r="A7" s="13" t="s">
        <v>5</v>
      </c>
      <c r="B7" s="38">
        <v>524</v>
      </c>
      <c r="C7" s="70" t="s">
        <v>6</v>
      </c>
    </row>
    <row r="8" spans="1:5" ht="15" customHeight="1" x14ac:dyDescent="0.3">
      <c r="A8" s="13" t="s">
        <v>7</v>
      </c>
      <c r="B8" s="13">
        <f>B7*B6</f>
        <v>7009.8099999999995</v>
      </c>
      <c r="C8" s="70"/>
    </row>
    <row r="9" spans="1:5" ht="15" customHeight="1" x14ac:dyDescent="0.3">
      <c r="A9" s="13" t="s">
        <v>8</v>
      </c>
      <c r="B9" s="38">
        <v>842.79</v>
      </c>
      <c r="C9" s="70" t="s">
        <v>115</v>
      </c>
    </row>
    <row r="10" spans="1:5" ht="15" customHeight="1" x14ac:dyDescent="0.3">
      <c r="A10" s="13" t="s">
        <v>10</v>
      </c>
      <c r="B10" s="38">
        <v>481.14</v>
      </c>
      <c r="C10" s="70" t="s">
        <v>9</v>
      </c>
    </row>
    <row r="11" spans="1:5" ht="15" customHeight="1" x14ac:dyDescent="0.3">
      <c r="A11" s="13" t="s">
        <v>11</v>
      </c>
      <c r="B11" s="13">
        <f>B9-B10</f>
        <v>361.65</v>
      </c>
      <c r="C11" s="70" t="s">
        <v>116</v>
      </c>
    </row>
    <row r="12" spans="1:5" ht="15" customHeight="1" x14ac:dyDescent="0.3">
      <c r="A12" s="13" t="s">
        <v>12</v>
      </c>
      <c r="B12" s="13">
        <f>B8+B11</f>
        <v>7371.4599999999991</v>
      </c>
      <c r="C12" s="70" t="s">
        <v>117</v>
      </c>
    </row>
    <row r="14" spans="1:5" x14ac:dyDescent="0.3">
      <c r="B14" s="40"/>
    </row>
    <row r="15" spans="1:5" x14ac:dyDescent="0.3">
      <c r="A15" s="66" t="s">
        <v>134</v>
      </c>
      <c r="B15" s="66"/>
      <c r="C15" s="66"/>
      <c r="D15" s="66"/>
      <c r="E15" s="66"/>
    </row>
    <row r="16" spans="1:5" x14ac:dyDescent="0.3">
      <c r="A16" s="4" t="s">
        <v>13</v>
      </c>
      <c r="B16" s="4" t="s">
        <v>166</v>
      </c>
      <c r="C16" s="4" t="s">
        <v>14</v>
      </c>
      <c r="D16" s="4" t="s">
        <v>15</v>
      </c>
      <c r="E16" s="4" t="s">
        <v>16</v>
      </c>
    </row>
    <row r="17" spans="1:5" x14ac:dyDescent="0.3">
      <c r="A17" s="65" t="s">
        <v>153</v>
      </c>
      <c r="B17" s="65"/>
      <c r="C17" s="65"/>
      <c r="D17" s="65"/>
      <c r="E17" s="65"/>
    </row>
    <row r="18" spans="1:5" x14ac:dyDescent="0.3">
      <c r="A18" s="14" t="s">
        <v>167</v>
      </c>
      <c r="B18" s="41">
        <v>6900.4</v>
      </c>
    </row>
    <row r="19" spans="1:5" x14ac:dyDescent="0.3">
      <c r="A19" s="13" t="s">
        <v>130</v>
      </c>
      <c r="C19" s="42">
        <v>0.2</v>
      </c>
      <c r="D19" s="42">
        <v>0.2</v>
      </c>
      <c r="E19" s="42">
        <v>0.2</v>
      </c>
    </row>
    <row r="20" spans="1:5" x14ac:dyDescent="0.3">
      <c r="A20" s="13" t="s">
        <v>131</v>
      </c>
      <c r="C20" s="42">
        <v>0.25</v>
      </c>
      <c r="D20" s="42">
        <v>0.25</v>
      </c>
      <c r="E20" s="42">
        <v>0.25</v>
      </c>
    </row>
    <row r="21" spans="1:5" x14ac:dyDescent="0.3">
      <c r="A21" s="43" t="s">
        <v>132</v>
      </c>
      <c r="C21" s="42">
        <v>0.3</v>
      </c>
      <c r="D21" s="42">
        <v>0.3</v>
      </c>
      <c r="E21" s="42">
        <v>0.3</v>
      </c>
    </row>
    <row r="22" spans="1:5" x14ac:dyDescent="0.3">
      <c r="A22" s="65" t="s">
        <v>154</v>
      </c>
      <c r="B22" s="65"/>
      <c r="C22" s="65"/>
      <c r="D22" s="65"/>
      <c r="E22" s="65"/>
    </row>
    <row r="23" spans="1:5" x14ac:dyDescent="0.3">
      <c r="A23" s="13" t="s">
        <v>20</v>
      </c>
      <c r="C23" s="42">
        <v>0.11</v>
      </c>
      <c r="D23" s="42">
        <v>0.11</v>
      </c>
      <c r="E23" s="42">
        <v>0.11</v>
      </c>
    </row>
    <row r="24" spans="1:5" x14ac:dyDescent="0.3">
      <c r="A24" s="13" t="s">
        <v>21</v>
      </c>
      <c r="C24" s="42">
        <v>0.13200000000000001</v>
      </c>
      <c r="D24" s="42">
        <v>0.13200000000000001</v>
      </c>
      <c r="E24" s="42">
        <v>0.13200000000000001</v>
      </c>
    </row>
    <row r="25" spans="1:5" x14ac:dyDescent="0.3">
      <c r="A25" s="13" t="s">
        <v>22</v>
      </c>
      <c r="C25" s="42">
        <v>0.14499999999999999</v>
      </c>
      <c r="D25" s="42">
        <v>0.14499999999999999</v>
      </c>
      <c r="E25" s="42">
        <v>0.14499999999999999</v>
      </c>
    </row>
    <row r="26" spans="1:5" x14ac:dyDescent="0.3">
      <c r="A26" s="65" t="s">
        <v>155</v>
      </c>
      <c r="B26" s="65"/>
    </row>
    <row r="27" spans="1:5" x14ac:dyDescent="0.3">
      <c r="A27" s="13" t="s">
        <v>23</v>
      </c>
      <c r="B27" s="44">
        <f>Assumptions!B17</f>
        <v>0.25169999999999998</v>
      </c>
    </row>
    <row r="28" spans="1:5" x14ac:dyDescent="0.3">
      <c r="A28" s="13" t="s">
        <v>140</v>
      </c>
      <c r="B28" s="41">
        <v>130.30000000000001</v>
      </c>
    </row>
    <row r="29" spans="1:5" x14ac:dyDescent="0.3">
      <c r="A29" s="13" t="s">
        <v>141</v>
      </c>
      <c r="B29" s="41">
        <v>143.19999999999999</v>
      </c>
    </row>
    <row r="30" spans="1:5" x14ac:dyDescent="0.3">
      <c r="A30" s="13" t="s">
        <v>142</v>
      </c>
      <c r="B30" s="41">
        <v>136.30000000000001</v>
      </c>
    </row>
    <row r="31" spans="1:5" x14ac:dyDescent="0.3">
      <c r="A31" s="13" t="s">
        <v>143</v>
      </c>
      <c r="B31" s="41">
        <v>195</v>
      </c>
    </row>
    <row r="32" spans="1:5" x14ac:dyDescent="0.3">
      <c r="A32" s="13" t="s">
        <v>144</v>
      </c>
      <c r="B32" s="41">
        <v>108.7</v>
      </c>
    </row>
    <row r="33" spans="1:6" x14ac:dyDescent="0.3">
      <c r="A33" s="13" t="s">
        <v>145</v>
      </c>
      <c r="B33" s="41">
        <v>135.9</v>
      </c>
    </row>
    <row r="34" spans="1:6" x14ac:dyDescent="0.3">
      <c r="A34" s="13" t="s">
        <v>146</v>
      </c>
      <c r="B34" s="41">
        <v>70.599999999999994</v>
      </c>
    </row>
    <row r="35" spans="1:6" x14ac:dyDescent="0.3">
      <c r="A35" s="13" t="s">
        <v>147</v>
      </c>
      <c r="B35" s="41">
        <v>126.4</v>
      </c>
    </row>
    <row r="36" spans="1:6" x14ac:dyDescent="0.3">
      <c r="A36" s="13" t="s">
        <v>148</v>
      </c>
      <c r="B36" s="41">
        <v>46.5</v>
      </c>
    </row>
    <row r="37" spans="1:6" x14ac:dyDescent="0.3">
      <c r="A37" s="65" t="s">
        <v>156</v>
      </c>
      <c r="B37" s="65"/>
      <c r="C37" s="65"/>
    </row>
    <row r="38" spans="1:6" ht="14.4" customHeight="1" x14ac:dyDescent="0.3">
      <c r="A38" s="13" t="s">
        <v>136</v>
      </c>
      <c r="B38" s="44">
        <f>Assumptions!B4</f>
        <v>6.0309999999999996E-2</v>
      </c>
      <c r="C38" s="71" t="s">
        <v>160</v>
      </c>
      <c r="D38" s="19"/>
      <c r="E38" s="19"/>
      <c r="F38" s="19"/>
    </row>
    <row r="39" spans="1:6" x14ac:dyDescent="0.3">
      <c r="A39" s="13" t="s">
        <v>135</v>
      </c>
      <c r="B39" s="44">
        <f>Assumptions!B13</f>
        <v>9.2862435457037068E-2</v>
      </c>
      <c r="C39" s="71"/>
      <c r="D39" s="19"/>
      <c r="E39" s="19"/>
      <c r="F39" s="19"/>
    </row>
    <row r="40" spans="1:6" x14ac:dyDescent="0.3">
      <c r="A40" s="13" t="s">
        <v>50</v>
      </c>
      <c r="B40" s="27">
        <f>Assumptions!B18</f>
        <v>1.3044376921972554</v>
      </c>
      <c r="C40" s="71"/>
      <c r="D40" s="19"/>
      <c r="E40" s="19"/>
      <c r="F40" s="19"/>
    </row>
    <row r="41" spans="1:6" x14ac:dyDescent="0.3">
      <c r="A41" s="13" t="s">
        <v>24</v>
      </c>
      <c r="B41" s="45">
        <f>Assumptions!B22</f>
        <v>0.10696734059097979</v>
      </c>
      <c r="C41" s="71"/>
      <c r="D41" s="19"/>
      <c r="E41" s="19"/>
      <c r="F41" s="19"/>
    </row>
    <row r="42" spans="1:6" x14ac:dyDescent="0.3">
      <c r="A42" s="13" t="s">
        <v>25</v>
      </c>
      <c r="B42" s="44">
        <f>Assumptions!B23</f>
        <v>0.25169999999999998</v>
      </c>
      <c r="C42" s="71"/>
      <c r="D42" s="19"/>
      <c r="E42" s="19"/>
      <c r="F42" s="19"/>
    </row>
    <row r="43" spans="1:6" x14ac:dyDescent="0.3">
      <c r="A43" s="13" t="s">
        <v>26</v>
      </c>
      <c r="B43" s="46">
        <f>Assumptions!B27</f>
        <v>2401</v>
      </c>
      <c r="C43" s="71"/>
      <c r="D43" s="19"/>
      <c r="E43" s="19"/>
      <c r="F43" s="19"/>
    </row>
    <row r="44" spans="1:6" x14ac:dyDescent="0.3">
      <c r="A44" s="13" t="s">
        <v>8</v>
      </c>
      <c r="B44" s="46">
        <f>Assumptions!B26</f>
        <v>815</v>
      </c>
      <c r="C44" s="71"/>
      <c r="D44" s="19"/>
      <c r="E44" s="19"/>
      <c r="F44" s="19"/>
    </row>
    <row r="45" spans="1:6" x14ac:dyDescent="0.3">
      <c r="A45" s="13" t="s">
        <v>45</v>
      </c>
      <c r="B45" s="25">
        <f>Assumptions!B29</f>
        <v>0.15574653400043303</v>
      </c>
      <c r="C45" s="71"/>
      <c r="D45" s="19"/>
      <c r="E45" s="19"/>
      <c r="F45" s="19"/>
    </row>
    <row r="46" spans="1:6" x14ac:dyDescent="0.3">
      <c r="A46" s="13" t="s">
        <v>27</v>
      </c>
      <c r="B46" s="45">
        <f>Assumptions!B31</f>
        <v>0.04</v>
      </c>
      <c r="C46" s="71"/>
      <c r="D46" s="19"/>
      <c r="E46" s="19"/>
      <c r="F46" s="19"/>
    </row>
    <row r="47" spans="1:6" x14ac:dyDescent="0.3">
      <c r="A47" s="13" t="s">
        <v>28</v>
      </c>
      <c r="B47" s="47">
        <f>Assumptions!B33</f>
        <v>10</v>
      </c>
      <c r="C47" s="71"/>
    </row>
    <row r="49" spans="1:5" x14ac:dyDescent="0.3">
      <c r="A49" s="66" t="s">
        <v>157</v>
      </c>
      <c r="B49" s="66"/>
      <c r="C49" s="66"/>
      <c r="D49" s="66"/>
      <c r="E49" s="66"/>
    </row>
    <row r="50" spans="1:5" x14ac:dyDescent="0.3">
      <c r="A50" s="4"/>
      <c r="B50" s="4" t="s">
        <v>29</v>
      </c>
      <c r="C50" s="4" t="s">
        <v>14</v>
      </c>
      <c r="D50" s="4" t="s">
        <v>15</v>
      </c>
      <c r="E50" s="4" t="s">
        <v>16</v>
      </c>
    </row>
    <row r="51" spans="1:5" x14ac:dyDescent="0.3">
      <c r="A51" s="65" t="s">
        <v>158</v>
      </c>
      <c r="B51" s="65"/>
      <c r="C51" s="65"/>
      <c r="D51" s="65"/>
      <c r="E51" s="65"/>
    </row>
    <row r="52" spans="1:5" x14ac:dyDescent="0.3">
      <c r="A52" s="13" t="s">
        <v>17</v>
      </c>
      <c r="C52" s="8">
        <f>'DCF &amp; Valuation'!C19</f>
        <v>0.2</v>
      </c>
      <c r="D52" s="8">
        <f>'DCF &amp; Valuation'!D19</f>
        <v>0.2</v>
      </c>
      <c r="E52" s="8">
        <f>'DCF &amp; Valuation'!E19</f>
        <v>0.2</v>
      </c>
    </row>
    <row r="53" spans="1:5" x14ac:dyDescent="0.3">
      <c r="A53" s="14" t="s">
        <v>18</v>
      </c>
      <c r="C53" s="9">
        <f>'DCF &amp; Valuation'!C20</f>
        <v>0.25</v>
      </c>
      <c r="D53" s="9">
        <f>'DCF &amp; Valuation'!D20</f>
        <v>0.25</v>
      </c>
      <c r="E53" s="9">
        <f>'DCF &amp; Valuation'!E20</f>
        <v>0.25</v>
      </c>
    </row>
    <row r="54" spans="1:5" x14ac:dyDescent="0.3">
      <c r="A54" s="13" t="s">
        <v>19</v>
      </c>
      <c r="C54" s="8">
        <f>'DCF &amp; Valuation'!C21</f>
        <v>0.3</v>
      </c>
      <c r="D54" s="8">
        <f>'DCF &amp; Valuation'!D21</f>
        <v>0.3</v>
      </c>
      <c r="E54" s="8">
        <f>'DCF &amp; Valuation'!E21</f>
        <v>0.3</v>
      </c>
    </row>
    <row r="55" spans="1:5" x14ac:dyDescent="0.3">
      <c r="A55" s="13" t="s">
        <v>30</v>
      </c>
      <c r="B55" s="3">
        <f>'DCF &amp; Valuation'!B18</f>
        <v>6900.4</v>
      </c>
      <c r="C55" s="3">
        <f t="shared" ref="C55:E57" si="0">B55*(1+C52)</f>
        <v>8280.48</v>
      </c>
      <c r="D55" s="3">
        <f t="shared" si="0"/>
        <v>9936.5759999999991</v>
      </c>
      <c r="E55" s="3">
        <f t="shared" si="0"/>
        <v>11923.891199999998</v>
      </c>
    </row>
    <row r="56" spans="1:5" x14ac:dyDescent="0.3">
      <c r="A56" s="14" t="s">
        <v>31</v>
      </c>
      <c r="B56" s="10">
        <f>'DCF &amp; Valuation'!B18</f>
        <v>6900.4</v>
      </c>
      <c r="C56" s="10">
        <f t="shared" si="0"/>
        <v>8625.5</v>
      </c>
      <c r="D56" s="10">
        <f t="shared" si="0"/>
        <v>10781.875</v>
      </c>
      <c r="E56" s="10">
        <f t="shared" si="0"/>
        <v>13477.34375</v>
      </c>
    </row>
    <row r="57" spans="1:5" x14ac:dyDescent="0.3">
      <c r="A57" s="13" t="s">
        <v>32</v>
      </c>
      <c r="B57" s="3">
        <f>'DCF &amp; Valuation'!B18</f>
        <v>6900.4</v>
      </c>
      <c r="C57" s="3">
        <f t="shared" si="0"/>
        <v>8970.52</v>
      </c>
      <c r="D57" s="3">
        <f t="shared" si="0"/>
        <v>11661.676000000001</v>
      </c>
      <c r="E57" s="3">
        <f t="shared" si="0"/>
        <v>15160.178800000002</v>
      </c>
    </row>
    <row r="59" spans="1:5" x14ac:dyDescent="0.3">
      <c r="A59" s="65" t="s">
        <v>159</v>
      </c>
      <c r="B59" s="65"/>
      <c r="C59" s="4" t="s">
        <v>14</v>
      </c>
      <c r="D59" s="4" t="s">
        <v>15</v>
      </c>
      <c r="E59" s="4" t="s">
        <v>16</v>
      </c>
    </row>
    <row r="60" spans="1:5" x14ac:dyDescent="0.3">
      <c r="A60" s="13" t="s">
        <v>20</v>
      </c>
      <c r="C60" s="8">
        <f>'DCF &amp; Valuation'!C23</f>
        <v>0.11</v>
      </c>
      <c r="D60" s="8">
        <f>'DCF &amp; Valuation'!D23</f>
        <v>0.11</v>
      </c>
      <c r="E60" s="8">
        <f>'DCF &amp; Valuation'!E23</f>
        <v>0.11</v>
      </c>
    </row>
    <row r="61" spans="1:5" x14ac:dyDescent="0.3">
      <c r="A61" s="14" t="s">
        <v>21</v>
      </c>
      <c r="C61" s="9">
        <f>'DCF &amp; Valuation'!C24</f>
        <v>0.13200000000000001</v>
      </c>
      <c r="D61" s="9">
        <f>'DCF &amp; Valuation'!D24</f>
        <v>0.13200000000000001</v>
      </c>
      <c r="E61" s="9">
        <f>'DCF &amp; Valuation'!E24</f>
        <v>0.13200000000000001</v>
      </c>
    </row>
    <row r="62" spans="1:5" x14ac:dyDescent="0.3">
      <c r="A62" s="13" t="s">
        <v>22</v>
      </c>
      <c r="C62" s="8">
        <f>'DCF &amp; Valuation'!C25</f>
        <v>0.14499999999999999</v>
      </c>
      <c r="D62" s="8">
        <f>'DCF &amp; Valuation'!D25</f>
        <v>0.14499999999999999</v>
      </c>
      <c r="E62" s="8">
        <f>'DCF &amp; Valuation'!E25</f>
        <v>0.14499999999999999</v>
      </c>
    </row>
    <row r="63" spans="1:5" x14ac:dyDescent="0.3">
      <c r="A63" s="13" t="s">
        <v>33</v>
      </c>
      <c r="C63" s="3">
        <f t="shared" ref="C63:E65" si="1">C55*C60</f>
        <v>910.8528</v>
      </c>
      <c r="D63" s="3">
        <f t="shared" si="1"/>
        <v>1093.0233599999999</v>
      </c>
      <c r="E63" s="3">
        <f t="shared" si="1"/>
        <v>1311.6280319999998</v>
      </c>
    </row>
    <row r="64" spans="1:5" x14ac:dyDescent="0.3">
      <c r="A64" s="14" t="s">
        <v>34</v>
      </c>
      <c r="C64" s="10">
        <f t="shared" si="1"/>
        <v>1138.566</v>
      </c>
      <c r="D64" s="10">
        <f t="shared" si="1"/>
        <v>1423.2075</v>
      </c>
      <c r="E64" s="10">
        <f t="shared" si="1"/>
        <v>1779.0093750000001</v>
      </c>
    </row>
    <row r="65" spans="1:17" x14ac:dyDescent="0.3">
      <c r="A65" s="13" t="s">
        <v>35</v>
      </c>
      <c r="C65" s="3">
        <f t="shared" si="1"/>
        <v>1300.7254</v>
      </c>
      <c r="D65" s="3">
        <f t="shared" si="1"/>
        <v>1690.9430200000002</v>
      </c>
      <c r="E65" s="3">
        <f t="shared" si="1"/>
        <v>2198.2259260000001</v>
      </c>
    </row>
    <row r="67" spans="1:17" x14ac:dyDescent="0.3">
      <c r="A67" s="65" t="s">
        <v>162</v>
      </c>
      <c r="B67" s="65"/>
      <c r="C67" s="4" t="s">
        <v>14</v>
      </c>
      <c r="D67" s="4" t="s">
        <v>15</v>
      </c>
      <c r="E67" s="4" t="s">
        <v>16</v>
      </c>
      <c r="G67" s="65" t="s">
        <v>161</v>
      </c>
      <c r="H67" s="65"/>
      <c r="I67" s="4" t="s">
        <v>14</v>
      </c>
      <c r="J67" s="4" t="s">
        <v>15</v>
      </c>
      <c r="K67" s="4" t="s">
        <v>16</v>
      </c>
      <c r="M67" s="65" t="s">
        <v>163</v>
      </c>
      <c r="N67" s="65"/>
      <c r="O67" s="4" t="s">
        <v>14</v>
      </c>
      <c r="P67" s="4" t="s">
        <v>15</v>
      </c>
      <c r="Q67" s="4" t="s">
        <v>16</v>
      </c>
    </row>
    <row r="68" spans="1:17" x14ac:dyDescent="0.3">
      <c r="A68" s="15" t="s">
        <v>36</v>
      </c>
      <c r="B68" s="16"/>
      <c r="C68" s="5">
        <f>C64</f>
        <v>1138.566</v>
      </c>
      <c r="D68" s="5">
        <f>D64</f>
        <v>1423.2075</v>
      </c>
      <c r="E68" s="5">
        <f>E64</f>
        <v>1779.0093750000001</v>
      </c>
      <c r="G68" s="15" t="s">
        <v>36</v>
      </c>
      <c r="H68" s="16"/>
      <c r="I68" s="5">
        <f>C63</f>
        <v>910.8528</v>
      </c>
      <c r="J68" s="5">
        <f t="shared" ref="J68:K68" si="2">D63</f>
        <v>1093.0233599999999</v>
      </c>
      <c r="K68" s="5">
        <f t="shared" si="2"/>
        <v>1311.6280319999998</v>
      </c>
      <c r="M68" s="15" t="s">
        <v>36</v>
      </c>
      <c r="N68" s="16"/>
      <c r="O68" s="5">
        <f>C65</f>
        <v>1300.7254</v>
      </c>
      <c r="P68" s="5">
        <f t="shared" ref="P68:Q68" si="3">D65</f>
        <v>1690.9430200000002</v>
      </c>
      <c r="Q68" s="5">
        <f t="shared" si="3"/>
        <v>2198.2259260000001</v>
      </c>
    </row>
    <row r="69" spans="1:17" x14ac:dyDescent="0.3">
      <c r="A69" s="13" t="s">
        <v>37</v>
      </c>
      <c r="C69" s="3">
        <f>'DCF &amp; Valuation'!B28</f>
        <v>130.30000000000001</v>
      </c>
      <c r="D69" s="3">
        <f>'DCF &amp; Valuation'!B29</f>
        <v>143.19999999999999</v>
      </c>
      <c r="E69" s="3">
        <f>'DCF &amp; Valuation'!B30</f>
        <v>136.30000000000001</v>
      </c>
      <c r="G69" s="13" t="s">
        <v>37</v>
      </c>
      <c r="I69" s="3">
        <f>B28</f>
        <v>130.30000000000001</v>
      </c>
      <c r="J69" s="3">
        <f>B29</f>
        <v>143.19999999999999</v>
      </c>
      <c r="K69" s="3">
        <f>B30</f>
        <v>136.30000000000001</v>
      </c>
      <c r="M69" s="13" t="s">
        <v>37</v>
      </c>
      <c r="O69" s="3">
        <f>B28</f>
        <v>130.30000000000001</v>
      </c>
      <c r="P69" s="3">
        <f>B29</f>
        <v>143.19999999999999</v>
      </c>
      <c r="Q69" s="3">
        <f>B30</f>
        <v>136.30000000000001</v>
      </c>
    </row>
    <row r="70" spans="1:17" x14ac:dyDescent="0.3">
      <c r="A70" s="15" t="s">
        <v>38</v>
      </c>
      <c r="B70" s="16"/>
      <c r="C70" s="5">
        <f>C68-C69</f>
        <v>1008.2660000000001</v>
      </c>
      <c r="D70" s="5">
        <f>D68-D69</f>
        <v>1280.0074999999999</v>
      </c>
      <c r="E70" s="5">
        <f>E68-E69</f>
        <v>1642.7093750000001</v>
      </c>
      <c r="G70" s="15" t="s">
        <v>38</v>
      </c>
      <c r="H70" s="16"/>
      <c r="I70" s="5">
        <f>I68-I69</f>
        <v>780.55279999999993</v>
      </c>
      <c r="J70" s="5">
        <f>J68-J69</f>
        <v>949.82335999999987</v>
      </c>
      <c r="K70" s="5">
        <f>K68-K69</f>
        <v>1175.3280319999999</v>
      </c>
      <c r="M70" s="15" t="s">
        <v>38</v>
      </c>
      <c r="N70" s="16"/>
      <c r="O70" s="5">
        <f>O68-O69</f>
        <v>1170.4254000000001</v>
      </c>
      <c r="P70" s="5">
        <f>P68-P69</f>
        <v>1547.7430200000001</v>
      </c>
      <c r="Q70" s="5">
        <f>Q68-Q69</f>
        <v>2061.9259259999999</v>
      </c>
    </row>
    <row r="71" spans="1:17" x14ac:dyDescent="0.3">
      <c r="A71" s="13" t="s">
        <v>39</v>
      </c>
      <c r="C71" s="3">
        <f>C70*$B$27</f>
        <v>253.78055219999999</v>
      </c>
      <c r="D71" s="3">
        <f t="shared" ref="D71:E71" si="4">D70*$B$27</f>
        <v>322.17788774999997</v>
      </c>
      <c r="E71" s="3">
        <f t="shared" si="4"/>
        <v>413.46994968749999</v>
      </c>
      <c r="G71" s="13" t="s">
        <v>39</v>
      </c>
      <c r="I71" s="3">
        <f>I70*$B$27</f>
        <v>196.46513975999997</v>
      </c>
      <c r="J71" s="3">
        <f t="shared" ref="J71:K71" si="5">J70*$B$27</f>
        <v>239.07053971199994</v>
      </c>
      <c r="K71" s="3">
        <f t="shared" si="5"/>
        <v>295.83006565439996</v>
      </c>
      <c r="M71" s="13" t="s">
        <v>39</v>
      </c>
      <c r="O71" s="3">
        <f>O70*$B$27</f>
        <v>294.59607318000002</v>
      </c>
      <c r="P71" s="3">
        <f t="shared" ref="P71:Q71" si="6">P70*$B$27</f>
        <v>389.56691813399999</v>
      </c>
      <c r="Q71" s="3">
        <f t="shared" si="6"/>
        <v>518.98675557419995</v>
      </c>
    </row>
    <row r="72" spans="1:17" x14ac:dyDescent="0.3">
      <c r="A72" s="17" t="s">
        <v>40</v>
      </c>
      <c r="B72" s="16"/>
      <c r="C72" s="6">
        <f>C70-C71</f>
        <v>754.48544780000009</v>
      </c>
      <c r="D72" s="6">
        <f>D70-D71</f>
        <v>957.82961224999997</v>
      </c>
      <c r="E72" s="6">
        <f>E70-E71</f>
        <v>1229.2394253125001</v>
      </c>
      <c r="G72" s="17" t="s">
        <v>40</v>
      </c>
      <c r="H72" s="16"/>
      <c r="I72" s="6">
        <f>I70-I71</f>
        <v>584.08766023999999</v>
      </c>
      <c r="J72" s="6">
        <f>J70-J71</f>
        <v>710.75282028799995</v>
      </c>
      <c r="K72" s="6">
        <f>K70-K71</f>
        <v>879.49796634559993</v>
      </c>
      <c r="M72" s="17" t="s">
        <v>40</v>
      </c>
      <c r="N72" s="16"/>
      <c r="O72" s="6">
        <f>O70-O71</f>
        <v>875.82932682000001</v>
      </c>
      <c r="P72" s="6">
        <f>P70-P71</f>
        <v>1158.1761018660002</v>
      </c>
      <c r="Q72" s="6">
        <f>Q70-Q71</f>
        <v>1542.9391704258001</v>
      </c>
    </row>
    <row r="73" spans="1:17" x14ac:dyDescent="0.3">
      <c r="A73" s="13" t="s">
        <v>41</v>
      </c>
      <c r="C73" s="3">
        <f>C69</f>
        <v>130.30000000000001</v>
      </c>
      <c r="D73" s="3">
        <f t="shared" ref="D73:E73" si="7">D69</f>
        <v>143.19999999999999</v>
      </c>
      <c r="E73" s="3">
        <f t="shared" si="7"/>
        <v>136.30000000000001</v>
      </c>
      <c r="G73" s="13" t="s">
        <v>41</v>
      </c>
      <c r="I73" s="3">
        <f>I69</f>
        <v>130.30000000000001</v>
      </c>
      <c r="J73" s="3">
        <f t="shared" ref="J73:K73" si="8">J69</f>
        <v>143.19999999999999</v>
      </c>
      <c r="K73" s="3">
        <f t="shared" si="8"/>
        <v>136.30000000000001</v>
      </c>
      <c r="M73" s="13" t="s">
        <v>41</v>
      </c>
      <c r="O73" s="3">
        <f>O69</f>
        <v>130.30000000000001</v>
      </c>
      <c r="P73" s="3">
        <f t="shared" ref="P73:Q73" si="9">P69</f>
        <v>143.19999999999999</v>
      </c>
      <c r="Q73" s="3">
        <f t="shared" si="9"/>
        <v>136.30000000000001</v>
      </c>
    </row>
    <row r="74" spans="1:17" x14ac:dyDescent="0.3">
      <c r="A74" s="13" t="s">
        <v>42</v>
      </c>
      <c r="C74" s="3">
        <f>('DCF &amp; Valuation'!B31)</f>
        <v>195</v>
      </c>
      <c r="D74" s="3">
        <f>('DCF &amp; Valuation'!B32)</f>
        <v>108.7</v>
      </c>
      <c r="E74" s="3">
        <f>('DCF &amp; Valuation'!B33)</f>
        <v>135.9</v>
      </c>
      <c r="G74" s="13" t="s">
        <v>42</v>
      </c>
      <c r="I74" s="3">
        <f>B31</f>
        <v>195</v>
      </c>
      <c r="J74" s="3">
        <f>B32</f>
        <v>108.7</v>
      </c>
      <c r="K74" s="3">
        <f>B33</f>
        <v>135.9</v>
      </c>
      <c r="M74" s="13" t="s">
        <v>42</v>
      </c>
      <c r="O74" s="3">
        <f>B31</f>
        <v>195</v>
      </c>
      <c r="P74" s="3">
        <f>B32</f>
        <v>108.7</v>
      </c>
      <c r="Q74" s="3">
        <f>B33</f>
        <v>135.9</v>
      </c>
    </row>
    <row r="75" spans="1:17" x14ac:dyDescent="0.3">
      <c r="A75" s="13" t="s">
        <v>43</v>
      </c>
      <c r="C75" s="3">
        <f>('DCF &amp; Valuation'!B34)</f>
        <v>70.599999999999994</v>
      </c>
      <c r="D75" s="3">
        <f>('DCF &amp; Valuation'!B35)</f>
        <v>126.4</v>
      </c>
      <c r="E75" s="3">
        <f>('DCF &amp; Valuation'!B36)</f>
        <v>46.5</v>
      </c>
      <c r="G75" s="13" t="s">
        <v>43</v>
      </c>
      <c r="I75" s="3">
        <f>B34</f>
        <v>70.599999999999994</v>
      </c>
      <c r="J75" s="3">
        <f>B35</f>
        <v>126.4</v>
      </c>
      <c r="K75" s="3">
        <f>B36</f>
        <v>46.5</v>
      </c>
      <c r="M75" s="13" t="s">
        <v>43</v>
      </c>
      <c r="O75" s="3">
        <f>B34</f>
        <v>70.599999999999994</v>
      </c>
      <c r="P75" s="3">
        <f>B35</f>
        <v>126.4</v>
      </c>
      <c r="Q75" s="3">
        <f>B36</f>
        <v>46.5</v>
      </c>
    </row>
    <row r="76" spans="1:17" x14ac:dyDescent="0.3">
      <c r="A76" s="17" t="s">
        <v>44</v>
      </c>
      <c r="B76" s="16"/>
      <c r="C76" s="6">
        <f>C72+C73-C74-C75</f>
        <v>619.18544780000013</v>
      </c>
      <c r="D76" s="6">
        <f>D72+D73-D74-D75</f>
        <v>865.92961224999988</v>
      </c>
      <c r="E76" s="6">
        <f>E72+E73-E74-E75</f>
        <v>1183.1394253125</v>
      </c>
      <c r="G76" s="17" t="s">
        <v>44</v>
      </c>
      <c r="H76" s="16"/>
      <c r="I76" s="6">
        <f>I72+I73-I74-I75</f>
        <v>448.78766024000004</v>
      </c>
      <c r="J76" s="6">
        <f>J72+J73-J74-J75</f>
        <v>618.85282028799986</v>
      </c>
      <c r="K76" s="6">
        <f>K72+K73-K74-K75</f>
        <v>833.39796634559991</v>
      </c>
      <c r="M76" s="17" t="s">
        <v>44</v>
      </c>
      <c r="N76" s="16"/>
      <c r="O76" s="6">
        <f>O72+O73-O74-O75</f>
        <v>740.52932681999994</v>
      </c>
      <c r="P76" s="6">
        <f>P72+P73-P74-P75</f>
        <v>1066.2761018660001</v>
      </c>
      <c r="Q76" s="6">
        <f>Q72+Q73-Q74-Q75</f>
        <v>1496.8391704257999</v>
      </c>
    </row>
    <row r="77" spans="1:17" x14ac:dyDescent="0.3">
      <c r="A77" s="17" t="s">
        <v>139</v>
      </c>
      <c r="B77" s="16"/>
      <c r="C77" s="6">
        <f>C76/(1+$B$45)^1</f>
        <v>535.74501811983646</v>
      </c>
      <c r="D77" s="6">
        <f>D76/(1+$B$45)^2</f>
        <v>648.27219111567047</v>
      </c>
      <c r="E77" s="6">
        <f>E76/(1+$B$45)^3</f>
        <v>766.38699651969546</v>
      </c>
      <c r="G77" s="17" t="s">
        <v>139</v>
      </c>
      <c r="H77" s="16"/>
      <c r="I77" s="6">
        <f>I76/(1+$B$45)^1</f>
        <v>388.30976086650497</v>
      </c>
      <c r="J77" s="6">
        <f>J76/(1+$B$45)^2</f>
        <v>463.29986653740747</v>
      </c>
      <c r="K77" s="6">
        <f>K76/(1+$B$45)^3</f>
        <v>539.83947341161991</v>
      </c>
      <c r="M77" s="17" t="s">
        <v>139</v>
      </c>
      <c r="N77" s="16"/>
      <c r="O77" s="6">
        <f>O76/(1+$B$45)^1</f>
        <v>640.73679222448141</v>
      </c>
      <c r="P77" s="6">
        <f>P76/(1+$B$45)^2</f>
        <v>798.26019934214105</v>
      </c>
      <c r="Q77" s="6">
        <f>Q76/(1+$B$45)^3</f>
        <v>969.58824256292962</v>
      </c>
    </row>
    <row r="79" spans="1:17" x14ac:dyDescent="0.3">
      <c r="A79" s="66" t="s">
        <v>164</v>
      </c>
      <c r="B79" s="66"/>
      <c r="C79" s="66"/>
      <c r="D79" s="66"/>
    </row>
    <row r="80" spans="1:17" ht="27.6" x14ac:dyDescent="0.3">
      <c r="A80" s="11" t="s">
        <v>46</v>
      </c>
      <c r="B80" s="11" t="s">
        <v>51</v>
      </c>
      <c r="C80" s="11" t="s">
        <v>52</v>
      </c>
      <c r="D80" s="11" t="s">
        <v>53</v>
      </c>
    </row>
    <row r="81" spans="1:7" x14ac:dyDescent="0.3">
      <c r="A81" s="13" t="s">
        <v>54</v>
      </c>
      <c r="B81" s="3">
        <f>E63</f>
        <v>1311.6280319999998</v>
      </c>
      <c r="C81" s="3">
        <f>E64</f>
        <v>1779.0093750000001</v>
      </c>
      <c r="D81" s="3">
        <f>E65</f>
        <v>2198.2259260000001</v>
      </c>
    </row>
    <row r="82" spans="1:7" x14ac:dyDescent="0.3">
      <c r="A82" s="13" t="s">
        <v>61</v>
      </c>
      <c r="B82" s="3">
        <f>B81*$B$47</f>
        <v>13116.280319999998</v>
      </c>
      <c r="C82" s="3">
        <f>C81*$B$47</f>
        <v>17790.09375</v>
      </c>
      <c r="D82" s="3">
        <f>D81*$B$47</f>
        <v>21982.259259999999</v>
      </c>
    </row>
    <row r="83" spans="1:7" x14ac:dyDescent="0.3">
      <c r="A83" s="13" t="s">
        <v>55</v>
      </c>
      <c r="B83" s="7">
        <f>B82/(1+$B$45)^3</f>
        <v>8496.1640740694093</v>
      </c>
      <c r="C83" s="7">
        <f t="shared" ref="C83:D83" si="10">C82/(1+$B$45)^3</f>
        <v>11523.660039699178</v>
      </c>
      <c r="D83" s="7">
        <f t="shared" si="10"/>
        <v>14239.165131817768</v>
      </c>
    </row>
    <row r="84" spans="1:7" x14ac:dyDescent="0.3">
      <c r="A84" s="13" t="s">
        <v>168</v>
      </c>
      <c r="B84" s="3">
        <f>SUM(I77:K77)</f>
        <v>1391.4491008155323</v>
      </c>
      <c r="C84" s="3">
        <f>SUM($C$77:$E$77)</f>
        <v>1950.4042057552024</v>
      </c>
      <c r="D84" s="3">
        <f>SUM(O77:Q77)</f>
        <v>2408.5852341295522</v>
      </c>
    </row>
    <row r="85" spans="1:7" x14ac:dyDescent="0.3">
      <c r="A85" s="17" t="s">
        <v>56</v>
      </c>
      <c r="B85" s="5">
        <f>B83+B84</f>
        <v>9887.6131748849421</v>
      </c>
      <c r="C85" s="5">
        <f>C83+C84</f>
        <v>13474.064245454381</v>
      </c>
      <c r="D85" s="5">
        <f>D83+D84</f>
        <v>16647.750365947322</v>
      </c>
    </row>
    <row r="86" spans="1:7" x14ac:dyDescent="0.3">
      <c r="A86" s="13" t="s">
        <v>57</v>
      </c>
      <c r="B86" s="3">
        <f>'DCF &amp; Valuation'!$B$11</f>
        <v>361.65</v>
      </c>
      <c r="C86" s="3">
        <f>'DCF &amp; Valuation'!$B$11</f>
        <v>361.65</v>
      </c>
      <c r="D86" s="3">
        <f>'DCF &amp; Valuation'!$B$11</f>
        <v>361.65</v>
      </c>
    </row>
    <row r="87" spans="1:7" x14ac:dyDescent="0.3">
      <c r="A87" s="17" t="s">
        <v>58</v>
      </c>
      <c r="B87" s="5">
        <f>B85-B86</f>
        <v>9525.9631748849424</v>
      </c>
      <c r="C87" s="5">
        <f>C85-C86</f>
        <v>13112.414245454382</v>
      </c>
      <c r="D87" s="5">
        <f>D85-D86</f>
        <v>16286.100365947323</v>
      </c>
    </row>
    <row r="88" spans="1:7" x14ac:dyDescent="0.3">
      <c r="A88" s="17" t="s">
        <v>59</v>
      </c>
      <c r="B88" s="6">
        <f>B87/'DCF &amp; Valuation'!$B$6</f>
        <v>712.08844514183841</v>
      </c>
      <c r="C88" s="6">
        <f>C87/'DCF &amp; Valuation'!$B$6</f>
        <v>980.18420821935206</v>
      </c>
      <c r="D88" s="6">
        <f>D87/'DCF &amp; Valuation'!$B$6</f>
        <v>1217.4248077703101</v>
      </c>
    </row>
    <row r="89" spans="1:7" x14ac:dyDescent="0.3">
      <c r="A89" s="13" t="s">
        <v>169</v>
      </c>
      <c r="B89" s="3">
        <f>'DCF &amp; Valuation'!$B$7</f>
        <v>524</v>
      </c>
      <c r="C89" s="3">
        <f>'DCF &amp; Valuation'!$B$7</f>
        <v>524</v>
      </c>
      <c r="D89" s="3">
        <f>'DCF &amp; Valuation'!$B$7</f>
        <v>524</v>
      </c>
    </row>
    <row r="90" spans="1:7" x14ac:dyDescent="0.3">
      <c r="A90" s="17" t="s">
        <v>60</v>
      </c>
      <c r="B90" s="69">
        <f>B88/B89-1</f>
        <v>0.3589474143928213</v>
      </c>
      <c r="C90" s="69">
        <f>C88/C89-1</f>
        <v>0.87058055003693147</v>
      </c>
      <c r="D90" s="69">
        <f>D88/D89-1</f>
        <v>1.3233297858212025</v>
      </c>
      <c r="G90" s="1"/>
    </row>
    <row r="92" spans="1:7" x14ac:dyDescent="0.3">
      <c r="A92" s="65" t="s">
        <v>165</v>
      </c>
      <c r="B92" s="65"/>
      <c r="C92" s="65"/>
      <c r="D92" s="65"/>
      <c r="E92" s="65"/>
      <c r="F92" s="65"/>
    </row>
    <row r="93" spans="1:7" x14ac:dyDescent="0.3">
      <c r="A93" s="18" t="s">
        <v>47</v>
      </c>
      <c r="B93" s="2">
        <v>0.02</v>
      </c>
      <c r="C93" s="2">
        <v>0.03</v>
      </c>
      <c r="D93" s="2">
        <v>0.04</v>
      </c>
      <c r="E93" s="2">
        <v>0.05</v>
      </c>
      <c r="F93" s="2">
        <v>0.06</v>
      </c>
    </row>
    <row r="94" spans="1:7" x14ac:dyDescent="0.3">
      <c r="A94" s="2">
        <v>0.12</v>
      </c>
      <c r="B94" s="3">
        <f>((E76*(1+0.02)/(0.12-0.02)/(1+0.12)^3)+(C76/(1+0.12)^1+D76/(1+0.12)^2+E76/(1+0.12)^3)-'DCF &amp; Valuation'!B11)/'DCF &amp; Valuation'!B6</f>
        <v>770.9529431194793</v>
      </c>
      <c r="C94" s="3">
        <f>((E76*(1+0.03)/(0.12-0.03)/(1+0.12)^3)+(C76/(1+0.12)^1+D76/(1+0.12)^2+E76/(1+0.12)^3)-'DCF &amp; Valuation'!B11)/'DCF &amp; Valuation'!B6</f>
        <v>849.29273473877015</v>
      </c>
      <c r="D94" s="3">
        <f>((E76*(1+0.04)/(0.12-0.04)/(1+0.12)^3)+(C76/(1+0.12)^1+D76/(1+0.12)^2+E76/(1+0.12)^3)-'DCF &amp; Valuation'!B11)/'DCF &amp; Valuation'!B6</f>
        <v>947.2174742628838</v>
      </c>
      <c r="E94" s="3">
        <f>((E76*(1+0.05)/(0.12-0.05)/(1+0.12)^3)+(C76/(1+0.12)^1+D76/(1+0.12)^2+E76/(1+0.12)^3)-'DCF &amp; Valuation'!B11)/'DCF &amp; Valuation'!B6</f>
        <v>1073.1207107938872</v>
      </c>
      <c r="F94" s="3">
        <f>((E76*(1+0.06)/(0.12-0.06)/(1+0.12)^3)+(C76/(1+0.12)^1+D76/(1+0.12)^2+E76/(1+0.12)^3)-'DCF &amp; Valuation'!B11)/'DCF &amp; Valuation'!B6</f>
        <v>1240.9916928352245</v>
      </c>
    </row>
    <row r="95" spans="1:7" x14ac:dyDescent="0.3">
      <c r="A95" s="2">
        <v>0.13</v>
      </c>
      <c r="B95" s="3">
        <f>((E76*(1+0.02)/(0.13-0.02)/(1+0.13)^3)+(C76/(1+0.13)^1+D76/(1+0.13)^2+E76/(1+0.13)^3)-'DCF &amp; Valuation'!B11)/'DCF &amp; Valuation'!B6</f>
        <v>694.28748810701484</v>
      </c>
      <c r="C95" s="3">
        <f>((E76*(1+0.03)/(0.13-0.03)/(1+0.13)^3)+(C76/(1+0.13)^1+D76/(1+0.13)^2+E76/(1+0.13)^3)-'DCF &amp; Valuation'!B11)/'DCF &amp; Valuation'!B6</f>
        <v>757.25425502584153</v>
      </c>
      <c r="D95" s="3">
        <f>((E76*(1+0.04)/(0.13-0.04)/(1+0.13)^3)+(C76/(1+0.13)^1+D76/(1+0.13)^2+E76/(1+0.13)^3)-'DCF &amp; Valuation'!B11)/'DCF &amp; Valuation'!B6</f>
        <v>834.21363681551861</v>
      </c>
      <c r="E95" s="3">
        <f>((E76*(1+0.05)/(0.13-0.05)/(1+0.13)^3)+(C76/(1+0.13)^1+D76/(1+0.13)^2+E76/(1+0.13)^3)-'DCF &amp; Valuation'!B11)/'DCF &amp; Valuation'!B6</f>
        <v>930.41286405261485</v>
      </c>
      <c r="F95" s="3">
        <f>((E76*(1+0.06)/(0.13-0.06)/(1+0.13)^3)+(C76/(1+0.13)^1+D76/(1+0.13)^2+E76/(1+0.13)^3)-'DCF &amp; Valuation'!B11)/'DCF &amp; Valuation'!B6</f>
        <v>1054.0975847860243</v>
      </c>
    </row>
    <row r="96" spans="1:7" x14ac:dyDescent="0.3">
      <c r="A96" s="2">
        <v>0.14000000000000001</v>
      </c>
      <c r="B96" s="3">
        <f>((E76*(1+0.02)/(0.14-0.02)/(1+0.14)^3)+(C76/(1+0.14)^1+D76/(1+0.14)^2+E76/(1+0.14)^3)-'DCF &amp; Valuation'!B11)/'DCF &amp; Valuation'!B6</f>
        <v>630.48860101971184</v>
      </c>
      <c r="C96" s="3">
        <f>((E76*(1+0.03)/(0.14-0.03)/(1+0.14)^3)+(C76/(1+0.14)^1+D76/(1+0.14)^2+E76/(1+0.14)^3)-'DCF &amp; Valuation'!B11)/'DCF &amp; Valuation'!B6</f>
        <v>682.04437759112466</v>
      </c>
      <c r="D96" s="3">
        <f>((E76*(1+0.04)/(0.14-0.04)/(1+0.14)^3)+(C76/(1+0.14)^1+D76/(1+0.14)^2+E76/(1+0.14)^3)-'DCF &amp; Valuation'!B11)/'DCF &amp; Valuation'!B6</f>
        <v>743.91130947681984</v>
      </c>
      <c r="E96" s="3">
        <f>((E76*(1+0.05)/(0.14-0.05)/(1+0.14)^3)+(C76/(1+0.14)^1+D76/(1+0.14)^2+E76/(1+0.14)^3)-'DCF &amp; Valuation'!B11)/'DCF &amp; Valuation'!B6</f>
        <v>819.52644844822544</v>
      </c>
      <c r="F96" s="3">
        <f>((E76*(1+0.06)/(0.14-0.06)/(1+0.14)^3)+(C76/(1+0.14)^1+D76/(1+0.14)^2+E76/(1+0.14)^3)-'DCF &amp; Valuation'!B11)/'DCF &amp; Valuation'!B6</f>
        <v>914.04537216248207</v>
      </c>
    </row>
    <row r="97" spans="1:6" x14ac:dyDescent="0.3">
      <c r="A97" s="2">
        <v>0.15</v>
      </c>
      <c r="B97" s="3">
        <f>((E76*(1+0.02)/(0.15-0.02)/(1+0.15)^3)+(C76/(1+0.15)^1+D76/(1+0.15)^2+E76/(1+0.15)^3)-'DCF &amp; Valuation'!B11)/'DCF &amp; Valuation'!B6</f>
        <v>576.58438867134566</v>
      </c>
      <c r="C97" s="3">
        <f>((E76*(1+0.03)/(0.15-0.03)/(1+0.15)^3)+(C76/(1+0.15)^1+D76/(1+0.15)^2+E76/(1+0.15)^3)-'DCF &amp; Valuation'!B11)/'DCF &amp; Valuation'!B6</f>
        <v>619.45312559467209</v>
      </c>
      <c r="D97" s="10">
        <f>((E76*(1+0.04)/(0.15-0.04)/(1+0.15)^3)+(C76/(1+0.15)^1+D76/(1+0.15)^2+E76/(1+0.15)^3)-'DCF &amp; Valuation'!B11)/'DCF &amp; Valuation'!B6</f>
        <v>670.11617832223953</v>
      </c>
      <c r="E97" s="3">
        <f>((E76*(1+0.05)/(0.15-0.05)/(1+0.15)^3)+(C76/(1+0.15)^1+D76/(1+0.15)^2+E76/(1+0.15)^3)-'DCF &amp; Valuation'!B11)/'DCF &amp; Valuation'!B6</f>
        <v>730.91184159532065</v>
      </c>
      <c r="F97" s="3">
        <f>((E76*(1+0.06)/(0.15-0.06)/(1+0.15)^3)+(C76/(1+0.15)^1+D76/(1+0.15)^2+E76/(1+0.15)^3)-'DCF &amp; Valuation'!B11)/'DCF &amp; Valuation'!B6</f>
        <v>805.21765226241973</v>
      </c>
    </row>
    <row r="98" spans="1:6" x14ac:dyDescent="0.3">
      <c r="A98" s="2">
        <v>0.16</v>
      </c>
      <c r="B98" s="3">
        <f>((E76*(1+0.02)/(0.16-0.02)/(1+0.16)^3)+(C76/(1+0.16)^1+D76/(1+0.16)^2+E76/(1+0.16)^3)-'DCF &amp; Valuation'!B11)/'DCF &amp; Valuation'!B6</f>
        <v>530.4521734070446</v>
      </c>
      <c r="C98" s="3">
        <f>((E76*(1+0.03)/(0.16-0.03)/(1+0.16)^3)+(C76/(1+0.16)^1+D76/(1+0.16)^2+E76/(1+0.16)^3)-'DCF &amp; Valuation'!B11)/'DCF &amp; Valuation'!B6</f>
        <v>566.56600764844472</v>
      </c>
      <c r="D98" s="3">
        <f>((E76*(1+0.04)/(0.16-0.04)/(1+0.16)^3)+(C76/(1+0.16)^1+D76/(1+0.16)^2+E76/(1+0.16)^3)-'DCF &amp; Valuation'!B11)/'DCF &amp; Valuation'!B6</f>
        <v>608.69881426341135</v>
      </c>
      <c r="E98" s="3">
        <f>((E76*(1+0.05)/(0.16-0.05)/(1+0.16)^3)+(C76/(1+0.16)^1+D76/(1+0.16)^2+E76/(1+0.16)^3)-'DCF &amp; Valuation'!B11)/'DCF &amp; Valuation'!B6</f>
        <v>658.49213117200838</v>
      </c>
      <c r="F98" s="3">
        <f>((E76*(1+0.06)/(0.16-0.06)/(1+0.16)^3)+(C76/(1+0.16)^1+D76/(1+0.16)^2+E76/(1+0.16)^3)-'DCF &amp; Valuation'!B11)/'DCF &amp; Valuation'!B6</f>
        <v>718.24411146232455</v>
      </c>
    </row>
    <row r="99" spans="1:6" x14ac:dyDescent="0.3">
      <c r="A99" s="2">
        <v>0.17</v>
      </c>
      <c r="B99" s="3">
        <f>((E76*(1+0.02)/(0.17-0.02)/(1+0.17)^3)+(C76/(1+0.17)^1+D76/(1+0.17)^2+E76/(1+0.17)^3)-'DCF &amp; Valuation'!B11)/'DCF &amp; Valuation'!B6</f>
        <v>490.53541646288136</v>
      </c>
      <c r="C99" s="3">
        <f>((E76*(1+0.03)/(0.17-0.03)/(1+0.17)^3)+(C76/(1+0.17)^1+D76/(1+0.17)^2+E76/(1+0.17)^3)-'DCF &amp; Valuation'!B11)/'DCF &amp; Valuation'!B6</f>
        <v>521.30133944814736</v>
      </c>
      <c r="D99" s="3">
        <f>((E76*(1+0.04)/(0.17-0.04)/(1+0.17)^3)+(C76/(1+0.17)^1+D76/(1+0.17)^2+E76/(1+0.17)^3)-'DCF &amp; Valuation'!B11)/'DCF &amp; Valuation'!B6</f>
        <v>556.80048135422373</v>
      </c>
      <c r="E99" s="3">
        <f>((E76*(1+0.05)/(0.17-0.05)/(1+0.17)^3)+(C76/(1+0.17)^1+D76/(1+0.17)^2+E76/(1+0.17)^3)-'DCF &amp; Valuation'!B11)/'DCF &amp; Valuation'!B6</f>
        <v>598.21614691131265</v>
      </c>
      <c r="F99" s="3">
        <f>((E76*(1+0.06)/(0.17-0.06)/(1+0.17)^3)+(C76/(1+0.17)^1+D76/(1+0.17)^2+E76/(1+0.17)^3)-'DCF &amp; Valuation'!B11)/'DCF &amp; Valuation'!B6</f>
        <v>647.16193347878152</v>
      </c>
    </row>
    <row r="115" spans="1:9" x14ac:dyDescent="0.3">
      <c r="A115" s="64"/>
      <c r="B115" s="64"/>
      <c r="C115" s="64"/>
      <c r="D115" s="64"/>
      <c r="E115" s="64"/>
      <c r="F115" s="64"/>
      <c r="G115" s="64"/>
      <c r="H115" s="64"/>
      <c r="I115" s="64"/>
    </row>
  </sheetData>
  <mergeCells count="16">
    <mergeCell ref="M67:N67"/>
    <mergeCell ref="A115:I115"/>
    <mergeCell ref="A37:C37"/>
    <mergeCell ref="A51:E51"/>
    <mergeCell ref="A1:C1"/>
    <mergeCell ref="A15:E15"/>
    <mergeCell ref="A17:E17"/>
    <mergeCell ref="A22:E22"/>
    <mergeCell ref="A26:B26"/>
    <mergeCell ref="C38:C47"/>
    <mergeCell ref="A59:B59"/>
    <mergeCell ref="A67:B67"/>
    <mergeCell ref="A79:D79"/>
    <mergeCell ref="A92:F92"/>
    <mergeCell ref="A49:E49"/>
    <mergeCell ref="G67:H67"/>
  </mergeCells>
  <conditionalFormatting sqref="B94:F99">
    <cfRule type="cellIs" dxfId="0" priority="2" operator="greaterThan">
      <formula>$B$7</formula>
    </cfRule>
    <cfRule type="cellIs" dxfId="1" priority="1" operator="lessThan">
      <formula>$B$7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D5B92-E687-48B5-AE8A-41F7A570ABF3}">
  <dimension ref="A1:L33"/>
  <sheetViews>
    <sheetView tabSelected="1" zoomScale="94" workbookViewId="0">
      <selection activeCell="C20" sqref="C20"/>
    </sheetView>
  </sheetViews>
  <sheetFormatPr defaultRowHeight="13.8" x14ac:dyDescent="0.3"/>
  <cols>
    <col min="1" max="1" width="26.6640625" style="19" customWidth="1"/>
    <col min="2" max="2" width="8.88671875" style="19" customWidth="1"/>
    <col min="3" max="3" width="19.6640625" style="19" bestFit="1" customWidth="1"/>
    <col min="4" max="4" width="15.21875" style="19" bestFit="1" customWidth="1"/>
    <col min="5" max="5" width="12.109375" style="19" bestFit="1" customWidth="1"/>
    <col min="6" max="6" width="8.88671875" style="19"/>
    <col min="7" max="7" width="19.44140625" style="19" bestFit="1" customWidth="1"/>
    <col min="8" max="8" width="9.21875" style="19" bestFit="1" customWidth="1"/>
    <col min="9" max="9" width="8.88671875" style="19"/>
    <col min="10" max="10" width="19.88671875" style="19" bestFit="1" customWidth="1"/>
    <col min="11" max="16384" width="8.88671875" style="19"/>
  </cols>
  <sheetData>
    <row r="1" spans="1:12" x14ac:dyDescent="0.3">
      <c r="A1" s="67" t="s">
        <v>63</v>
      </c>
      <c r="B1" s="67"/>
    </row>
    <row r="2" spans="1:12" x14ac:dyDescent="0.3">
      <c r="A2" s="19" t="s">
        <v>65</v>
      </c>
      <c r="B2" s="20">
        <v>7.0309999999999997E-2</v>
      </c>
    </row>
    <row r="3" spans="1:12" x14ac:dyDescent="0.3">
      <c r="A3" s="19" t="s">
        <v>66</v>
      </c>
      <c r="B3" s="20">
        <v>0.01</v>
      </c>
    </row>
    <row r="4" spans="1:12" x14ac:dyDescent="0.3">
      <c r="A4" s="29" t="s">
        <v>64</v>
      </c>
      <c r="B4" s="30">
        <f>B2-B3</f>
        <v>6.0309999999999996E-2</v>
      </c>
    </row>
    <row r="6" spans="1:12" x14ac:dyDescent="0.3">
      <c r="A6" s="19" t="s">
        <v>67</v>
      </c>
      <c r="B6" s="20">
        <v>4.24E-2</v>
      </c>
      <c r="D6" s="67" t="s">
        <v>119</v>
      </c>
      <c r="E6" s="67"/>
      <c r="G6" s="67" t="s">
        <v>110</v>
      </c>
      <c r="H6" s="67" t="s">
        <v>76</v>
      </c>
      <c r="J6" s="67" t="s">
        <v>111</v>
      </c>
      <c r="K6" s="67"/>
    </row>
    <row r="7" spans="1:12" x14ac:dyDescent="0.3">
      <c r="A7" s="19" t="s">
        <v>68</v>
      </c>
      <c r="B7" s="23">
        <f>B8*(B9/B10)</f>
        <v>1.8971680053349343E-2</v>
      </c>
      <c r="D7" s="19" t="s">
        <v>74</v>
      </c>
      <c r="E7" s="34">
        <v>0.42</v>
      </c>
      <c r="G7" s="19" t="s">
        <v>77</v>
      </c>
      <c r="H7" s="24">
        <v>5.9054415036221455E-2</v>
      </c>
      <c r="J7" s="19" t="s">
        <v>91</v>
      </c>
      <c r="K7" s="24">
        <v>0.1241</v>
      </c>
    </row>
    <row r="8" spans="1:12" x14ac:dyDescent="0.3">
      <c r="A8" s="19" t="s">
        <v>69</v>
      </c>
      <c r="B8" s="25">
        <f>B3</f>
        <v>0.01</v>
      </c>
      <c r="D8" s="19" t="s">
        <v>75</v>
      </c>
      <c r="E8" s="26">
        <f>1-E7</f>
        <v>0.58000000000000007</v>
      </c>
      <c r="G8" s="19" t="s">
        <v>78</v>
      </c>
      <c r="H8" s="24">
        <v>9.9101743745056578E-2</v>
      </c>
      <c r="J8" s="19" t="s">
        <v>92</v>
      </c>
      <c r="K8" s="24">
        <v>6.9599999999999995E-2</v>
      </c>
    </row>
    <row r="9" spans="1:12" x14ac:dyDescent="0.3">
      <c r="A9" s="19" t="s">
        <v>70</v>
      </c>
      <c r="B9" s="37">
        <v>0.16233303342839653</v>
      </c>
      <c r="G9" s="19" t="s">
        <v>79</v>
      </c>
      <c r="H9" s="24">
        <v>0.1353131214281412</v>
      </c>
      <c r="J9" s="19" t="s">
        <v>93</v>
      </c>
      <c r="K9" s="24">
        <v>0.15160000000000001</v>
      </c>
    </row>
    <row r="10" spans="1:12" x14ac:dyDescent="0.3">
      <c r="A10" s="19" t="s">
        <v>71</v>
      </c>
      <c r="B10" s="37">
        <v>8.556597674634385E-2</v>
      </c>
      <c r="D10" s="67" t="s">
        <v>118</v>
      </c>
      <c r="E10" s="67"/>
      <c r="G10" s="19" t="s">
        <v>80</v>
      </c>
      <c r="H10" s="24">
        <v>6.4271308431242125E-2</v>
      </c>
      <c r="J10" s="19" t="s">
        <v>87</v>
      </c>
      <c r="K10" s="24">
        <v>0.1134</v>
      </c>
    </row>
    <row r="11" spans="1:12" x14ac:dyDescent="0.3">
      <c r="A11" s="19" t="s">
        <v>72</v>
      </c>
      <c r="B11" s="25">
        <f>B6+B7</f>
        <v>6.1371680053349344E-2</v>
      </c>
      <c r="D11" s="19" t="s">
        <v>72</v>
      </c>
      <c r="E11" s="25">
        <f>B11*E7</f>
        <v>2.5776105622406724E-2</v>
      </c>
      <c r="G11" s="19" t="s">
        <v>90</v>
      </c>
      <c r="H11" s="24">
        <v>0.1002</v>
      </c>
      <c r="J11" s="19" t="s">
        <v>88</v>
      </c>
      <c r="K11" s="24">
        <v>0.15720000000000001</v>
      </c>
    </row>
    <row r="12" spans="1:12" x14ac:dyDescent="0.3">
      <c r="A12" s="19" t="s">
        <v>73</v>
      </c>
      <c r="B12" s="25">
        <f>K15</f>
        <v>0.11566608592177646</v>
      </c>
      <c r="D12" s="19" t="s">
        <v>73</v>
      </c>
      <c r="E12" s="23">
        <f>B12*E8</f>
        <v>6.7086329834630351E-2</v>
      </c>
      <c r="G12" s="19" t="s">
        <v>81</v>
      </c>
      <c r="H12" s="24">
        <v>6.0895671528581691E-2</v>
      </c>
      <c r="J12" s="19" t="s">
        <v>89</v>
      </c>
      <c r="K12" s="24">
        <v>9.1600000000000001E-2</v>
      </c>
    </row>
    <row r="13" spans="1:12" x14ac:dyDescent="0.3">
      <c r="A13" s="29" t="s">
        <v>94</v>
      </c>
      <c r="B13" s="30">
        <f>SUM(E11:E12)</f>
        <v>9.2862435457037068E-2</v>
      </c>
      <c r="G13" s="19" t="s">
        <v>82</v>
      </c>
      <c r="H13" s="24">
        <v>0.31619999999999998</v>
      </c>
      <c r="J13" s="19" t="s">
        <v>112</v>
      </c>
      <c r="K13" s="24">
        <v>0.22289999999999999</v>
      </c>
      <c r="L13" s="22">
        <f>AVERAGE(K7:K13)</f>
        <v>0.13291428571428571</v>
      </c>
    </row>
    <row r="14" spans="1:12" x14ac:dyDescent="0.3">
      <c r="G14" s="19" t="s">
        <v>83</v>
      </c>
      <c r="H14" s="24">
        <v>6.9181325744202743E-2</v>
      </c>
    </row>
    <row r="15" spans="1:12" x14ac:dyDescent="0.3">
      <c r="A15" s="19" t="s">
        <v>95</v>
      </c>
      <c r="B15" s="27">
        <f>'Beta calculation'!U4</f>
        <v>1.0652906044126578</v>
      </c>
      <c r="G15" s="19" t="s">
        <v>84</v>
      </c>
      <c r="H15" s="24">
        <v>5.890097699519143E-2</v>
      </c>
      <c r="J15" s="29" t="s">
        <v>152</v>
      </c>
      <c r="K15" s="30">
        <f>AVERAGE(L13,I17)</f>
        <v>0.11566608592177646</v>
      </c>
    </row>
    <row r="16" spans="1:12" x14ac:dyDescent="0.3">
      <c r="A16" s="19" t="s">
        <v>107</v>
      </c>
      <c r="B16" s="28">
        <v>0.3</v>
      </c>
      <c r="G16" s="19" t="s">
        <v>85</v>
      </c>
      <c r="H16" s="24">
        <v>6.4578184513302161E-2</v>
      </c>
    </row>
    <row r="17" spans="1:9" x14ac:dyDescent="0.3">
      <c r="A17" s="19" t="s">
        <v>103</v>
      </c>
      <c r="B17" s="20">
        <v>0.25169999999999998</v>
      </c>
      <c r="G17" s="19" t="s">
        <v>86</v>
      </c>
      <c r="H17" s="24">
        <v>5.4899999999999997E-2</v>
      </c>
      <c r="I17" s="22">
        <f>AVERAGE(H7:H17)</f>
        <v>9.8417886129267218E-2</v>
      </c>
    </row>
    <row r="18" spans="1:9" x14ac:dyDescent="0.3">
      <c r="A18" s="29" t="s">
        <v>108</v>
      </c>
      <c r="B18" s="72">
        <f>B15*(1+(1-B17)*B16)</f>
        <v>1.3044376921972554</v>
      </c>
    </row>
    <row r="19" spans="1:9" x14ac:dyDescent="0.3">
      <c r="B19" s="25"/>
    </row>
    <row r="20" spans="1:9" x14ac:dyDescent="0.3">
      <c r="A20" s="29" t="s">
        <v>109</v>
      </c>
      <c r="B20" s="30">
        <f>B4+(B18*B13)</f>
        <v>0.18144326099939401</v>
      </c>
    </row>
    <row r="22" spans="1:9" x14ac:dyDescent="0.3">
      <c r="A22" s="19" t="s">
        <v>120</v>
      </c>
      <c r="B22" s="25">
        <f>G25</f>
        <v>0.10696734059097979</v>
      </c>
      <c r="D22" s="4" t="s">
        <v>121</v>
      </c>
      <c r="E22" s="4" t="s">
        <v>126</v>
      </c>
      <c r="F22" s="4" t="s">
        <v>122</v>
      </c>
      <c r="G22" s="4" t="s">
        <v>123</v>
      </c>
    </row>
    <row r="23" spans="1:9" x14ac:dyDescent="0.3">
      <c r="A23" s="19" t="s">
        <v>103</v>
      </c>
      <c r="B23" s="20">
        <v>0.25169999999999998</v>
      </c>
      <c r="D23" s="19" t="s">
        <v>124</v>
      </c>
      <c r="E23" s="28">
        <v>78</v>
      </c>
      <c r="F23" s="20">
        <v>8.5000000000000006E-2</v>
      </c>
      <c r="G23" s="23">
        <f>F23*(E23/$E$25)</f>
        <v>1.0311041990668741E-2</v>
      </c>
    </row>
    <row r="24" spans="1:9" x14ac:dyDescent="0.3">
      <c r="A24" s="29" t="s">
        <v>127</v>
      </c>
      <c r="B24" s="30">
        <f>B22*(1-B23)</f>
        <v>8.0043660964230171E-2</v>
      </c>
      <c r="D24" s="19" t="s">
        <v>125</v>
      </c>
      <c r="E24" s="28">
        <v>565</v>
      </c>
      <c r="F24" s="34">
        <v>0.11</v>
      </c>
      <c r="G24" s="23">
        <f t="shared" ref="G24" si="0">F24*(E24/$E$25)</f>
        <v>9.6656298600311052E-2</v>
      </c>
    </row>
    <row r="25" spans="1:9" x14ac:dyDescent="0.3">
      <c r="B25" s="25"/>
      <c r="E25" s="21">
        <f>SUM(E23:E24)</f>
        <v>643</v>
      </c>
      <c r="G25" s="22">
        <f>SUM(G23:G24)</f>
        <v>0.10696734059097979</v>
      </c>
    </row>
    <row r="26" spans="1:9" x14ac:dyDescent="0.3">
      <c r="A26" s="19" t="s">
        <v>128</v>
      </c>
      <c r="B26" s="28">
        <v>815</v>
      </c>
      <c r="C26" s="31">
        <f>B26/SUM($B$26:$B$27)</f>
        <v>0.25342039800995025</v>
      </c>
    </row>
    <row r="27" spans="1:9" x14ac:dyDescent="0.3">
      <c r="A27" s="19" t="s">
        <v>129</v>
      </c>
      <c r="B27" s="32">
        <v>2401</v>
      </c>
      <c r="C27" s="31">
        <f t="shared" ref="C27" si="1">B27/SUM($B$26:$B$27)</f>
        <v>0.7465796019900498</v>
      </c>
    </row>
    <row r="29" spans="1:9" x14ac:dyDescent="0.3">
      <c r="A29" s="29" t="s">
        <v>45</v>
      </c>
      <c r="B29" s="33">
        <f>(B24*C26)+(B20*C27)</f>
        <v>0.15574653400043303</v>
      </c>
    </row>
    <row r="31" spans="1:9" x14ac:dyDescent="0.3">
      <c r="A31" s="29" t="s">
        <v>137</v>
      </c>
      <c r="B31" s="35">
        <v>0.04</v>
      </c>
    </row>
    <row r="33" spans="1:2" x14ac:dyDescent="0.3">
      <c r="A33" s="29" t="s">
        <v>138</v>
      </c>
      <c r="B33" s="36">
        <v>10</v>
      </c>
    </row>
  </sheetData>
  <mergeCells count="5">
    <mergeCell ref="D10:E10"/>
    <mergeCell ref="D6:E6"/>
    <mergeCell ref="A1:B1"/>
    <mergeCell ref="G6:H6"/>
    <mergeCell ref="J6:K6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B43B5-1E03-4CB8-B2CA-D230455704FC}">
  <dimension ref="A1:X127"/>
  <sheetViews>
    <sheetView topLeftCell="K1" workbookViewId="0">
      <selection activeCell="F13" sqref="F13"/>
    </sheetView>
  </sheetViews>
  <sheetFormatPr defaultRowHeight="13.8" x14ac:dyDescent="0.3"/>
  <cols>
    <col min="1" max="1" width="10.33203125" style="12" bestFit="1" customWidth="1"/>
    <col min="2" max="2" width="15.21875" style="12" bestFit="1" customWidth="1"/>
    <col min="3" max="3" width="15.21875" style="12" customWidth="1"/>
    <col min="4" max="4" width="15.88671875" style="12" bestFit="1" customWidth="1"/>
    <col min="5" max="5" width="15.88671875" style="12" customWidth="1"/>
    <col min="6" max="6" width="17.44140625" style="12" bestFit="1" customWidth="1"/>
    <col min="7" max="7" width="15.88671875" style="12" customWidth="1"/>
    <col min="8" max="8" width="16.44140625" style="12" bestFit="1" customWidth="1"/>
    <col min="9" max="9" width="16.44140625" style="12" customWidth="1"/>
    <col min="10" max="10" width="17.44140625" style="12" bestFit="1" customWidth="1"/>
    <col min="11" max="11" width="16.44140625" style="12" customWidth="1"/>
    <col min="12" max="12" width="13.77734375" style="12" bestFit="1" customWidth="1"/>
    <col min="13" max="13" width="13.77734375" style="12" customWidth="1"/>
    <col min="14" max="14" width="17.44140625" style="12" bestFit="1" customWidth="1"/>
    <col min="15" max="15" width="13.77734375" style="12" customWidth="1"/>
    <col min="16" max="16" width="14" style="12" bestFit="1" customWidth="1"/>
    <col min="17" max="17" width="8.88671875" style="12"/>
    <col min="18" max="18" width="17.44140625" style="12" bestFit="1" customWidth="1"/>
    <col min="19" max="19" width="10.77734375" style="12" bestFit="1" customWidth="1"/>
    <col min="20" max="16384" width="8.88671875" style="12"/>
  </cols>
  <sheetData>
    <row r="1" spans="1:24" x14ac:dyDescent="0.3">
      <c r="A1" s="4" t="s">
        <v>101</v>
      </c>
      <c r="B1" s="4" t="s">
        <v>99</v>
      </c>
      <c r="C1" s="4" t="s">
        <v>149</v>
      </c>
      <c r="D1" s="4" t="s">
        <v>96</v>
      </c>
      <c r="E1" s="4" t="s">
        <v>149</v>
      </c>
      <c r="F1" s="52"/>
      <c r="G1" s="52"/>
      <c r="H1" s="4" t="s">
        <v>97</v>
      </c>
      <c r="I1" s="4" t="s">
        <v>149</v>
      </c>
      <c r="J1" s="52"/>
      <c r="K1" s="52"/>
      <c r="L1" s="4" t="s">
        <v>98</v>
      </c>
      <c r="M1" s="4" t="s">
        <v>149</v>
      </c>
      <c r="N1" s="52"/>
      <c r="O1" s="52"/>
      <c r="P1" s="4" t="s">
        <v>100</v>
      </c>
      <c r="Q1" s="4" t="s">
        <v>149</v>
      </c>
    </row>
    <row r="2" spans="1:24" x14ac:dyDescent="0.3">
      <c r="A2" s="60">
        <v>45278</v>
      </c>
      <c r="B2" s="55">
        <v>21349.4</v>
      </c>
      <c r="C2" s="53"/>
      <c r="D2" s="55">
        <v>592.20631922999996</v>
      </c>
      <c r="E2" s="53"/>
      <c r="F2" s="53"/>
      <c r="G2" s="53"/>
      <c r="H2" s="55">
        <v>622.01791771000001</v>
      </c>
      <c r="I2" s="53"/>
      <c r="J2" s="53"/>
      <c r="K2" s="53"/>
      <c r="L2" s="55">
        <v>220.51083556</v>
      </c>
      <c r="M2" s="53"/>
      <c r="N2" s="53"/>
      <c r="O2" s="53"/>
      <c r="P2" s="55">
        <v>162.94999999999999</v>
      </c>
    </row>
    <row r="3" spans="1:24" x14ac:dyDescent="0.3">
      <c r="A3" s="60">
        <v>45286</v>
      </c>
      <c r="B3" s="55">
        <v>21731.4</v>
      </c>
      <c r="C3" s="48">
        <f>B3/B2-1</f>
        <v>1.7892774504201459E-2</v>
      </c>
      <c r="D3" s="55">
        <v>582.76070015000005</v>
      </c>
      <c r="E3" s="48">
        <f>D3/D2-1</f>
        <v>-1.5949878907542403E-2</v>
      </c>
      <c r="F3" s="54" t="s">
        <v>150</v>
      </c>
      <c r="G3" s="49">
        <f>SLOPE(E3:E127,$C$3:$C$127)</f>
        <v>1.785906377617928</v>
      </c>
      <c r="H3" s="55">
        <v>698.93860330999996</v>
      </c>
      <c r="I3" s="48">
        <f>H3/H2-1</f>
        <v>0.12366313479069624</v>
      </c>
      <c r="J3" s="54" t="s">
        <v>150</v>
      </c>
      <c r="K3" s="49">
        <f>SLOPE(I3:I127,$C$3:$C$127)</f>
        <v>1.5295530269437734</v>
      </c>
      <c r="L3" s="55">
        <v>223.14699630999999</v>
      </c>
      <c r="M3" s="48">
        <f>L3/L2-1</f>
        <v>1.1954790082334465E-2</v>
      </c>
      <c r="N3" s="54" t="s">
        <v>150</v>
      </c>
      <c r="O3" s="49">
        <f>SLOPE(M3:M127,$C$3:$C$127)</f>
        <v>1.8135575935703381</v>
      </c>
      <c r="P3" s="55">
        <v>132.80000000000001</v>
      </c>
      <c r="Q3" s="48">
        <f>P3/P2-1</f>
        <v>-0.18502608162012879</v>
      </c>
      <c r="R3" s="54" t="s">
        <v>150</v>
      </c>
      <c r="S3" s="49">
        <f>SLOPE(Q3:Q127,$C$3:$C$127)</f>
        <v>1.6458369435020117</v>
      </c>
      <c r="U3" s="62" t="s">
        <v>106</v>
      </c>
      <c r="V3" s="62"/>
      <c r="W3" s="62"/>
      <c r="X3" s="62"/>
    </row>
    <row r="4" spans="1:24" x14ac:dyDescent="0.3">
      <c r="A4" s="60">
        <v>45292</v>
      </c>
      <c r="B4" s="55">
        <v>21710.800999999999</v>
      </c>
      <c r="C4" s="48">
        <f t="shared" ref="C4:E67" si="0">B4/B3-1</f>
        <v>-9.4789107006465478E-4</v>
      </c>
      <c r="D4" s="55">
        <v>597.69565393000005</v>
      </c>
      <c r="E4" s="48">
        <f t="shared" si="0"/>
        <v>2.5627935748165243E-2</v>
      </c>
      <c r="F4" s="50" t="s">
        <v>102</v>
      </c>
      <c r="G4" s="56">
        <v>0.94</v>
      </c>
      <c r="H4" s="55">
        <v>741.75993561999996</v>
      </c>
      <c r="I4" s="48">
        <f t="shared" ref="I4" si="1">H4/H3-1</f>
        <v>6.1266228689056179E-2</v>
      </c>
      <c r="J4" s="50" t="s">
        <v>102</v>
      </c>
      <c r="K4" s="56">
        <v>0.69</v>
      </c>
      <c r="L4" s="55">
        <v>235.20502827000001</v>
      </c>
      <c r="M4" s="48">
        <f t="shared" ref="M4" si="2">L4/L3-1</f>
        <v>5.4036272768147819E-2</v>
      </c>
      <c r="N4" s="50" t="s">
        <v>102</v>
      </c>
      <c r="O4" s="56">
        <v>0.64</v>
      </c>
      <c r="P4" s="55">
        <v>129.85001</v>
      </c>
      <c r="Q4" s="48">
        <f t="shared" ref="Q4" si="3">P4/P3-1</f>
        <v>-2.221378012048203E-2</v>
      </c>
      <c r="R4" s="50" t="s">
        <v>102</v>
      </c>
      <c r="S4" s="56">
        <v>0.16</v>
      </c>
      <c r="U4" s="63">
        <f>(G6*G8)+(K6*K8)+(O6*O8)+(S6*S8)</f>
        <v>1.0652906044126578</v>
      </c>
      <c r="V4" s="63"/>
      <c r="W4" s="63"/>
      <c r="X4" s="63"/>
    </row>
    <row r="5" spans="1:24" x14ac:dyDescent="0.3">
      <c r="A5" s="60">
        <v>45299</v>
      </c>
      <c r="B5" s="55">
        <v>21894.550999999999</v>
      </c>
      <c r="C5" s="48">
        <f t="shared" si="0"/>
        <v>8.4635292820380847E-3</v>
      </c>
      <c r="D5" s="55">
        <v>603.28392541000005</v>
      </c>
      <c r="E5" s="48">
        <f t="shared" si="0"/>
        <v>9.3496940177759669E-3</v>
      </c>
      <c r="F5" s="50" t="s">
        <v>103</v>
      </c>
      <c r="G5" s="57">
        <v>0.25169999999999998</v>
      </c>
      <c r="H5" s="55">
        <v>724.26676015999999</v>
      </c>
      <c r="I5" s="48">
        <f t="shared" ref="I5" si="4">H5/H4-1</f>
        <v>-2.3583338247270436E-2</v>
      </c>
      <c r="J5" s="50" t="s">
        <v>103</v>
      </c>
      <c r="K5" s="57">
        <v>0.25169999999999998</v>
      </c>
      <c r="L5" s="55">
        <v>260.43812942</v>
      </c>
      <c r="M5" s="48">
        <f t="shared" ref="M5" si="5">L5/L4-1</f>
        <v>0.1072812997902155</v>
      </c>
      <c r="N5" s="50" t="s">
        <v>103</v>
      </c>
      <c r="O5" s="57">
        <v>0.25169999999999998</v>
      </c>
      <c r="P5" s="55">
        <v>153.60001</v>
      </c>
      <c r="Q5" s="48">
        <f t="shared" ref="Q5" si="6">P5/P4-1</f>
        <v>0.18290333593351282</v>
      </c>
      <c r="R5" s="50" t="s">
        <v>103</v>
      </c>
      <c r="S5" s="57">
        <v>0.25169999999999998</v>
      </c>
    </row>
    <row r="6" spans="1:24" x14ac:dyDescent="0.3">
      <c r="A6" s="60">
        <v>45306</v>
      </c>
      <c r="B6" s="55">
        <v>21571.8</v>
      </c>
      <c r="C6" s="48">
        <f t="shared" si="0"/>
        <v>-1.4741156372651831E-2</v>
      </c>
      <c r="D6" s="55">
        <v>610.20742309000002</v>
      </c>
      <c r="E6" s="48">
        <f t="shared" si="0"/>
        <v>1.147635033586325E-2</v>
      </c>
      <c r="F6" s="50" t="s">
        <v>104</v>
      </c>
      <c r="G6" s="51">
        <f>G3/(1+(1-G5)*G4)</f>
        <v>1.0484350597321876</v>
      </c>
      <c r="H6" s="55">
        <v>712.6374548</v>
      </c>
      <c r="I6" s="48">
        <f t="shared" ref="I6" si="7">H6/H5-1</f>
        <v>-1.605666033524844E-2</v>
      </c>
      <c r="J6" s="50" t="s">
        <v>104</v>
      </c>
      <c r="K6" s="51">
        <f>K3/(1+(1-K5)*K4)</f>
        <v>1.0087224107621728</v>
      </c>
      <c r="L6" s="55">
        <v>241.44629659</v>
      </c>
      <c r="M6" s="48">
        <f t="shared" ref="M6" si="8">L6/L5-1</f>
        <v>-7.2922628004951195E-2</v>
      </c>
      <c r="N6" s="50" t="s">
        <v>104</v>
      </c>
      <c r="O6" s="51">
        <f>O3/(1+(1-O5)*O4)</f>
        <v>1.2262782326266459</v>
      </c>
      <c r="P6" s="55">
        <v>187.14999</v>
      </c>
      <c r="Q6" s="48">
        <f t="shared" ref="Q6" si="9">P6/P5-1</f>
        <v>0.21842433473799905</v>
      </c>
      <c r="R6" s="50" t="s">
        <v>104</v>
      </c>
      <c r="S6" s="51">
        <f>S3/(1+(1-S5)*S4)</f>
        <v>1.4698542355840094</v>
      </c>
    </row>
    <row r="7" spans="1:24" x14ac:dyDescent="0.3">
      <c r="A7" s="60">
        <v>45314</v>
      </c>
      <c r="B7" s="55">
        <v>21352.6</v>
      </c>
      <c r="C7" s="48">
        <f t="shared" si="0"/>
        <v>-1.0161414439221583E-2</v>
      </c>
      <c r="D7" s="55">
        <v>609.21835198999997</v>
      </c>
      <c r="E7" s="48">
        <f t="shared" si="0"/>
        <v>-1.6208768732958179E-3</v>
      </c>
      <c r="F7" s="50" t="s">
        <v>151</v>
      </c>
      <c r="G7" s="58">
        <v>23988</v>
      </c>
      <c r="H7" s="55">
        <v>734.02348760999996</v>
      </c>
      <c r="I7" s="48">
        <f t="shared" ref="I7" si="10">H7/H6-1</f>
        <v>3.0009695204698206E-2</v>
      </c>
      <c r="J7" s="50" t="s">
        <v>151</v>
      </c>
      <c r="K7" s="59">
        <v>27143</v>
      </c>
      <c r="L7" s="55">
        <v>240.84655418</v>
      </c>
      <c r="M7" s="48">
        <f t="shared" ref="M7" si="11">L7/L6-1</f>
        <v>-2.4839577929762768E-3</v>
      </c>
      <c r="N7" s="50" t="s">
        <v>151</v>
      </c>
      <c r="O7" s="59">
        <v>5553</v>
      </c>
      <c r="P7" s="55">
        <v>179.55</v>
      </c>
      <c r="Q7" s="48">
        <f t="shared" ref="Q7" si="12">P7/P6-1</f>
        <v>-4.0609085792630784E-2</v>
      </c>
      <c r="R7" s="50" t="s">
        <v>151</v>
      </c>
      <c r="S7" s="59">
        <v>2585</v>
      </c>
    </row>
    <row r="8" spans="1:24" x14ac:dyDescent="0.3">
      <c r="A8" s="60">
        <v>45320</v>
      </c>
      <c r="B8" s="55">
        <v>21853.800999999999</v>
      </c>
      <c r="C8" s="48">
        <f t="shared" si="0"/>
        <v>2.3472598184764326E-2</v>
      </c>
      <c r="D8" s="55">
        <v>658.91917461000003</v>
      </c>
      <c r="E8" s="48">
        <f t="shared" si="0"/>
        <v>8.1581295864862291E-2</v>
      </c>
      <c r="F8" s="50" t="s">
        <v>105</v>
      </c>
      <c r="G8" s="50">
        <f>G7/(SUM($G$7,$K$7,$O$7,$S$7))</f>
        <v>0.40473097234642058</v>
      </c>
      <c r="H8" s="55">
        <v>821.58794755999998</v>
      </c>
      <c r="I8" s="48">
        <f t="shared" ref="I8" si="13">H8/H7-1</f>
        <v>0.11929381202107336</v>
      </c>
      <c r="J8" s="50" t="s">
        <v>105</v>
      </c>
      <c r="K8" s="50">
        <f>K7/(SUM($G$7,$K$7,$O$7,$S$7))</f>
        <v>0.45796284735696569</v>
      </c>
      <c r="L8" s="55">
        <v>284.22793148</v>
      </c>
      <c r="M8" s="48">
        <f t="shared" ref="M8" si="14">L8/L7-1</f>
        <v>0.18012039843251526</v>
      </c>
      <c r="N8" s="50" t="s">
        <v>105</v>
      </c>
      <c r="O8" s="50">
        <f>O7/(SUM($G$7,$K$7,$O$7,$S$7))</f>
        <v>9.3691474463884997E-2</v>
      </c>
      <c r="P8" s="55">
        <v>205.7</v>
      </c>
      <c r="Q8" s="48">
        <f t="shared" ref="Q8" si="15">P8/P7-1</f>
        <v>0.14564188248398757</v>
      </c>
      <c r="R8" s="50" t="s">
        <v>105</v>
      </c>
      <c r="S8" s="50">
        <f>S7/(SUM($G$7,$K$7,$O$7,$S$7))</f>
        <v>4.3614705832728744E-2</v>
      </c>
    </row>
    <row r="9" spans="1:24" x14ac:dyDescent="0.3">
      <c r="A9" s="60">
        <v>45327</v>
      </c>
      <c r="B9" s="55">
        <v>21782.5</v>
      </c>
      <c r="C9" s="48">
        <f t="shared" si="0"/>
        <v>-3.2626360970340329E-3</v>
      </c>
      <c r="D9" s="55">
        <v>651.64947237000001</v>
      </c>
      <c r="E9" s="48">
        <f t="shared" si="0"/>
        <v>-1.1032767781120945E-2</v>
      </c>
      <c r="F9" s="48"/>
      <c r="G9" s="48"/>
      <c r="H9" s="55">
        <v>865.00057876999995</v>
      </c>
      <c r="I9" s="48">
        <f t="shared" ref="I9" si="16">H9/H8-1</f>
        <v>5.2839907570369382E-2</v>
      </c>
      <c r="J9" s="48"/>
      <c r="K9" s="48"/>
      <c r="L9" s="55">
        <v>301.67041977000002</v>
      </c>
      <c r="M9" s="48">
        <f t="shared" ref="M9" si="17">L9/L8-1</f>
        <v>6.1367959859453203E-2</v>
      </c>
      <c r="N9" s="48"/>
      <c r="O9" s="48"/>
      <c r="P9" s="55">
        <v>222.35001</v>
      </c>
      <c r="Q9" s="48">
        <f t="shared" ref="Q9" si="18">P9/P8-1</f>
        <v>8.0943169664560166E-2</v>
      </c>
    </row>
    <row r="10" spans="1:24" x14ac:dyDescent="0.3">
      <c r="A10" s="60">
        <v>45334</v>
      </c>
      <c r="B10" s="55">
        <v>22040.699000000001</v>
      </c>
      <c r="C10" s="48">
        <f t="shared" si="0"/>
        <v>1.1853506255021351E-2</v>
      </c>
      <c r="D10" s="55">
        <v>661.24347190000003</v>
      </c>
      <c r="E10" s="48">
        <f t="shared" si="0"/>
        <v>1.4722638376591268E-2</v>
      </c>
      <c r="F10" s="48"/>
      <c r="G10" s="48"/>
      <c r="H10" s="55">
        <v>945.76485503000004</v>
      </c>
      <c r="I10" s="48">
        <f t="shared" ref="I10" si="19">H10/H9-1</f>
        <v>9.3369043029825516E-2</v>
      </c>
      <c r="J10" s="48"/>
      <c r="K10" s="48"/>
      <c r="L10" s="55">
        <v>322.36154274</v>
      </c>
      <c r="M10" s="48">
        <f t="shared" ref="M10" si="20">L10/L9-1</f>
        <v>6.8588504586480026E-2</v>
      </c>
      <c r="N10" s="48"/>
      <c r="O10" s="48"/>
      <c r="P10" s="55">
        <v>229.05</v>
      </c>
      <c r="Q10" s="48">
        <f t="shared" ref="Q10" si="21">P10/P9-1</f>
        <v>3.0132627383286481E-2</v>
      </c>
    </row>
    <row r="11" spans="1:24" x14ac:dyDescent="0.3">
      <c r="A11" s="60">
        <v>45341</v>
      </c>
      <c r="B11" s="55">
        <v>22212.699000000001</v>
      </c>
      <c r="C11" s="48">
        <f t="shared" si="0"/>
        <v>7.8037452441956923E-3</v>
      </c>
      <c r="D11" s="55">
        <v>669.35386478999999</v>
      </c>
      <c r="E11" s="48">
        <f t="shared" si="0"/>
        <v>1.2265365534265049E-2</v>
      </c>
      <c r="F11" s="48"/>
      <c r="G11" s="48"/>
      <c r="H11" s="55">
        <v>972.02922692000004</v>
      </c>
      <c r="I11" s="48">
        <f t="shared" ref="I11" si="22">H11/H10-1</f>
        <v>2.7770509498544316E-2</v>
      </c>
      <c r="J11" s="48"/>
      <c r="K11" s="48"/>
      <c r="L11" s="55">
        <v>353.54815780000001</v>
      </c>
      <c r="M11" s="48">
        <f t="shared" ref="M11" si="23">L11/L10-1</f>
        <v>9.6744217051825787E-2</v>
      </c>
      <c r="N11" s="48"/>
      <c r="O11" s="48"/>
      <c r="P11" s="55">
        <v>234.35001</v>
      </c>
      <c r="Q11" s="48">
        <f t="shared" ref="Q11" si="24">P11/P10-1</f>
        <v>2.3139096267190462E-2</v>
      </c>
    </row>
    <row r="12" spans="1:24" x14ac:dyDescent="0.3">
      <c r="A12" s="60">
        <v>45348</v>
      </c>
      <c r="B12" s="55">
        <v>22378.400000000001</v>
      </c>
      <c r="C12" s="48">
        <f t="shared" si="0"/>
        <v>7.4597418350648148E-3</v>
      </c>
      <c r="D12" s="55">
        <v>713.07081716000005</v>
      </c>
      <c r="E12" s="48">
        <f t="shared" si="0"/>
        <v>6.5312168450264441E-2</v>
      </c>
      <c r="F12" s="48"/>
      <c r="G12" s="48"/>
      <c r="H12" s="55">
        <v>967.64360407000004</v>
      </c>
      <c r="I12" s="48">
        <f t="shared" ref="I12" si="25">H12/H11-1</f>
        <v>-4.5118219993203201E-3</v>
      </c>
      <c r="J12" s="48"/>
      <c r="K12" s="48"/>
      <c r="L12" s="55">
        <v>342.55288037999998</v>
      </c>
      <c r="M12" s="48">
        <f t="shared" ref="M12" si="26">L12/L11-1</f>
        <v>-3.109980119375988E-2</v>
      </c>
      <c r="N12" s="48"/>
      <c r="O12" s="48"/>
      <c r="P12" s="55">
        <v>228.39999</v>
      </c>
      <c r="Q12" s="48">
        <f t="shared" ref="Q12" si="27">P12/P11-1</f>
        <v>-2.5389459125689795E-2</v>
      </c>
    </row>
    <row r="13" spans="1:24" x14ac:dyDescent="0.3">
      <c r="A13" s="60">
        <v>45355</v>
      </c>
      <c r="B13" s="55">
        <v>22493.550999999999</v>
      </c>
      <c r="C13" s="48">
        <f t="shared" si="0"/>
        <v>5.1456315018052479E-3</v>
      </c>
      <c r="D13" s="55">
        <v>694.52573409000001</v>
      </c>
      <c r="E13" s="48">
        <f t="shared" si="0"/>
        <v>-2.6007351056464345E-2</v>
      </c>
      <c r="F13" s="61"/>
      <c r="G13" s="48"/>
      <c r="H13" s="55">
        <v>1035.94092288</v>
      </c>
      <c r="I13" s="48">
        <f t="shared" ref="I13" si="28">H13/H12-1</f>
        <v>7.0581067784394103E-2</v>
      </c>
      <c r="J13" s="48"/>
      <c r="K13" s="48"/>
      <c r="L13" s="55">
        <v>308.71741301999998</v>
      </c>
      <c r="M13" s="48">
        <f t="shared" ref="M13" si="29">L13/L12-1</f>
        <v>-9.8774435416995265E-2</v>
      </c>
      <c r="N13" s="48"/>
      <c r="O13" s="48"/>
      <c r="P13" s="55">
        <v>200.7</v>
      </c>
      <c r="Q13" s="48">
        <f t="shared" ref="Q13" si="30">P13/P12-1</f>
        <v>-0.12127842037120939</v>
      </c>
    </row>
    <row r="14" spans="1:24" x14ac:dyDescent="0.3">
      <c r="A14" s="60">
        <v>45362</v>
      </c>
      <c r="B14" s="55">
        <v>22023.35</v>
      </c>
      <c r="C14" s="48">
        <f t="shared" si="0"/>
        <v>-2.0903813719763575E-2</v>
      </c>
      <c r="D14" s="55">
        <v>658.32570227999997</v>
      </c>
      <c r="E14" s="48">
        <f t="shared" si="0"/>
        <v>-5.2121944563265243E-2</v>
      </c>
      <c r="F14" s="48"/>
      <c r="G14" s="48"/>
      <c r="H14" s="55">
        <v>1015.54043094</v>
      </c>
      <c r="I14" s="48">
        <f t="shared" ref="I14" si="31">H14/H13-1</f>
        <v>-1.9692717499068424E-2</v>
      </c>
      <c r="J14" s="48"/>
      <c r="K14" s="48"/>
      <c r="L14" s="55">
        <v>255.29034043999999</v>
      </c>
      <c r="M14" s="48">
        <f t="shared" ref="M14" si="32">L14/L13-1</f>
        <v>-0.17306141580209067</v>
      </c>
      <c r="N14" s="48"/>
      <c r="O14" s="48"/>
      <c r="P14" s="55">
        <v>192.8</v>
      </c>
      <c r="Q14" s="48">
        <f t="shared" ref="Q14" si="33">P14/P13-1</f>
        <v>-3.9362232187344137E-2</v>
      </c>
    </row>
    <row r="15" spans="1:24" x14ac:dyDescent="0.3">
      <c r="A15" s="60">
        <v>45369</v>
      </c>
      <c r="B15" s="55">
        <v>22096.75</v>
      </c>
      <c r="C15" s="48">
        <f t="shared" si="0"/>
        <v>3.3328262957270649E-3</v>
      </c>
      <c r="D15" s="55">
        <v>664.90304485000001</v>
      </c>
      <c r="E15" s="48">
        <f t="shared" si="0"/>
        <v>9.9910159169245283E-3</v>
      </c>
      <c r="F15" s="48"/>
      <c r="G15" s="48"/>
      <c r="H15" s="55">
        <v>1049.4919742899999</v>
      </c>
      <c r="I15" s="48">
        <f t="shared" ref="I15" si="34">H15/H14-1</f>
        <v>3.3431995729184205E-2</v>
      </c>
      <c r="J15" s="48"/>
      <c r="K15" s="48"/>
      <c r="L15" s="55">
        <v>295.17321038</v>
      </c>
      <c r="M15" s="48">
        <f t="shared" ref="M15" si="35">L15/L14-1</f>
        <v>0.1562255347039796</v>
      </c>
      <c r="N15" s="48"/>
      <c r="O15" s="48"/>
      <c r="P15" s="55">
        <v>204.8</v>
      </c>
      <c r="Q15" s="48">
        <f t="shared" ref="Q15" si="36">P15/P14-1</f>
        <v>6.2240663900414939E-2</v>
      </c>
    </row>
    <row r="16" spans="1:24" x14ac:dyDescent="0.3">
      <c r="A16" s="60">
        <v>45377</v>
      </c>
      <c r="B16" s="55">
        <v>22326.9</v>
      </c>
      <c r="C16" s="48">
        <f t="shared" si="0"/>
        <v>1.0415558849152129E-2</v>
      </c>
      <c r="D16" s="55">
        <v>686.66260897999996</v>
      </c>
      <c r="E16" s="48">
        <f t="shared" si="0"/>
        <v>3.2725920415823673E-2</v>
      </c>
      <c r="F16" s="48"/>
      <c r="G16" s="48"/>
      <c r="H16" s="55">
        <v>1054.3703528000001</v>
      </c>
      <c r="I16" s="48">
        <f t="shared" ref="I16" si="37">H16/H15-1</f>
        <v>4.6483237885648343E-3</v>
      </c>
      <c r="J16" s="48"/>
      <c r="K16" s="48"/>
      <c r="L16" s="55">
        <v>323.26114634999999</v>
      </c>
      <c r="M16" s="48">
        <f t="shared" ref="M16" si="38">L16/L15-1</f>
        <v>9.5157470198058203E-2</v>
      </c>
      <c r="N16" s="48"/>
      <c r="O16" s="48"/>
      <c r="P16" s="55">
        <v>215.2</v>
      </c>
      <c r="Q16" s="48">
        <f t="shared" ref="Q16" si="39">P16/P15-1</f>
        <v>5.0781249999999778E-2</v>
      </c>
    </row>
    <row r="17" spans="1:17" x14ac:dyDescent="0.3">
      <c r="A17" s="60">
        <v>45383</v>
      </c>
      <c r="B17" s="55">
        <v>22513.699000000001</v>
      </c>
      <c r="C17" s="48">
        <f t="shared" si="0"/>
        <v>8.3665443926383976E-3</v>
      </c>
      <c r="D17" s="55">
        <v>751.59514626999999</v>
      </c>
      <c r="E17" s="48">
        <f t="shared" si="0"/>
        <v>9.4562506303428773E-2</v>
      </c>
      <c r="F17" s="48"/>
      <c r="G17" s="48"/>
      <c r="H17" s="55">
        <v>1140.5057632200001</v>
      </c>
      <c r="I17" s="48">
        <f t="shared" ref="I17" si="40">H17/H16-1</f>
        <v>8.1693695380619991E-2</v>
      </c>
      <c r="J17" s="48"/>
      <c r="K17" s="48"/>
      <c r="L17" s="55">
        <v>322.36154274</v>
      </c>
      <c r="M17" s="48">
        <f t="shared" ref="M17" si="41">L17/L16-1</f>
        <v>-2.7829005129678119E-3</v>
      </c>
      <c r="N17" s="48"/>
      <c r="O17" s="48"/>
      <c r="P17" s="55">
        <v>226.5</v>
      </c>
      <c r="Q17" s="48">
        <f t="shared" ref="Q17" si="42">P17/P16-1</f>
        <v>5.2509293680297553E-2</v>
      </c>
    </row>
    <row r="18" spans="1:17" x14ac:dyDescent="0.3">
      <c r="A18" s="60">
        <v>45390</v>
      </c>
      <c r="B18" s="55">
        <v>22519.4</v>
      </c>
      <c r="C18" s="48">
        <f t="shared" si="0"/>
        <v>2.5322360399337995E-4</v>
      </c>
      <c r="D18" s="55">
        <v>738.53939790000004</v>
      </c>
      <c r="E18" s="48">
        <f t="shared" si="0"/>
        <v>-1.7370719375707444E-2</v>
      </c>
      <c r="F18" s="48"/>
      <c r="G18" s="48"/>
      <c r="H18" s="55">
        <v>1152.2828588100001</v>
      </c>
      <c r="I18" s="48">
        <f t="shared" ref="I18" si="43">H18/H17-1</f>
        <v>1.0326204364587976E-2</v>
      </c>
      <c r="J18" s="48"/>
      <c r="K18" s="48"/>
      <c r="L18" s="55">
        <v>315.96430041999997</v>
      </c>
      <c r="M18" s="48">
        <f t="shared" ref="M18" si="44">L18/L17-1</f>
        <v>-1.9844930216008194E-2</v>
      </c>
      <c r="N18" s="48"/>
      <c r="O18" s="48"/>
      <c r="P18" s="55">
        <v>221.5</v>
      </c>
      <c r="Q18" s="48">
        <f t="shared" ref="Q18" si="45">P18/P17-1</f>
        <v>-2.2075055187637971E-2</v>
      </c>
    </row>
    <row r="19" spans="1:17" x14ac:dyDescent="0.3">
      <c r="A19" s="60">
        <v>45397</v>
      </c>
      <c r="B19" s="55">
        <v>22147</v>
      </c>
      <c r="C19" s="48">
        <f t="shared" si="0"/>
        <v>-1.6536852669254087E-2</v>
      </c>
      <c r="D19" s="55">
        <v>689.23417404999998</v>
      </c>
      <c r="E19" s="48">
        <f t="shared" si="0"/>
        <v>-6.676045176492551E-2</v>
      </c>
      <c r="F19" s="48"/>
      <c r="G19" s="48"/>
      <c r="H19" s="55">
        <v>1188.9446124399999</v>
      </c>
      <c r="I19" s="48">
        <f t="shared" ref="I19" si="46">H19/H18-1</f>
        <v>3.181662675071073E-2</v>
      </c>
      <c r="J19" s="48"/>
      <c r="K19" s="48"/>
      <c r="L19" s="55">
        <v>314.21505173000003</v>
      </c>
      <c r="M19" s="48">
        <f t="shared" ref="M19" si="47">L19/L18-1</f>
        <v>-5.53622256588715E-3</v>
      </c>
      <c r="N19" s="48"/>
      <c r="O19" s="48"/>
      <c r="P19" s="55">
        <v>258.79998999999998</v>
      </c>
      <c r="Q19" s="48">
        <f t="shared" ref="Q19" si="48">P19/P18-1</f>
        <v>0.16839724604966122</v>
      </c>
    </row>
    <row r="20" spans="1:17" x14ac:dyDescent="0.3">
      <c r="A20" s="60">
        <v>45404</v>
      </c>
      <c r="B20" s="55">
        <v>22419.949000000001</v>
      </c>
      <c r="C20" s="48">
        <f t="shared" si="0"/>
        <v>1.2324423172438648E-2</v>
      </c>
      <c r="D20" s="55">
        <v>718.21399674999998</v>
      </c>
      <c r="E20" s="48">
        <f t="shared" si="0"/>
        <v>4.2046410046257643E-2</v>
      </c>
      <c r="F20" s="48"/>
      <c r="G20" s="48"/>
      <c r="H20" s="55">
        <v>1169.77603426</v>
      </c>
      <c r="I20" s="48">
        <f t="shared" ref="I20" si="49">H20/H19-1</f>
        <v>-1.612234748316943E-2</v>
      </c>
      <c r="J20" s="48"/>
      <c r="K20" s="48"/>
      <c r="L20" s="55">
        <v>348.25041322999999</v>
      </c>
      <c r="M20" s="48">
        <f t="shared" ref="M20" si="50">L20/L19-1</f>
        <v>0.10831868592102323</v>
      </c>
      <c r="N20" s="48"/>
      <c r="O20" s="48"/>
      <c r="P20" s="55">
        <v>277.54998999999998</v>
      </c>
      <c r="Q20" s="48">
        <f t="shared" ref="Q20" si="51">P20/P19-1</f>
        <v>7.2449770960192117E-2</v>
      </c>
    </row>
    <row r="21" spans="1:17" x14ac:dyDescent="0.3">
      <c r="A21" s="60">
        <v>45411</v>
      </c>
      <c r="B21" s="55">
        <v>22475.85</v>
      </c>
      <c r="C21" s="48">
        <f t="shared" si="0"/>
        <v>2.4933598198639828E-3</v>
      </c>
      <c r="D21" s="55">
        <v>743.68257749999998</v>
      </c>
      <c r="E21" s="48">
        <f t="shared" si="0"/>
        <v>3.5460991940073905E-2</v>
      </c>
      <c r="F21" s="48"/>
      <c r="G21" s="48"/>
      <c r="H21" s="55">
        <v>1223.6845805999999</v>
      </c>
      <c r="I21" s="48">
        <f t="shared" ref="I21" si="52">H21/H20-1</f>
        <v>4.6084502298854524E-2</v>
      </c>
      <c r="J21" s="48"/>
      <c r="K21" s="48"/>
      <c r="L21" s="55">
        <v>338.35467354000002</v>
      </c>
      <c r="M21" s="48">
        <f t="shared" ref="M21" si="53">L21/L20-1</f>
        <v>-2.8415586354134215E-2</v>
      </c>
      <c r="N21" s="48"/>
      <c r="O21" s="48"/>
      <c r="P21" s="55">
        <v>280.10001</v>
      </c>
      <c r="Q21" s="48">
        <f t="shared" ref="Q21" si="54">P21/P20-1</f>
        <v>9.1876061678115573E-3</v>
      </c>
    </row>
    <row r="22" spans="1:17" x14ac:dyDescent="0.3">
      <c r="A22" s="60">
        <v>45418</v>
      </c>
      <c r="B22" s="55">
        <v>22055.199000000001</v>
      </c>
      <c r="C22" s="48">
        <f t="shared" si="0"/>
        <v>-1.8715688171971112E-2</v>
      </c>
      <c r="D22" s="55">
        <v>716.08747411000002</v>
      </c>
      <c r="E22" s="48">
        <f t="shared" si="0"/>
        <v>-3.7106023759175599E-2</v>
      </c>
      <c r="F22" s="48"/>
      <c r="G22" s="48"/>
      <c r="H22" s="55">
        <v>1147.5030334</v>
      </c>
      <c r="I22" s="48">
        <f t="shared" ref="I22" si="55">H22/H21-1</f>
        <v>-6.2255869206627068E-2</v>
      </c>
      <c r="J22" s="48"/>
      <c r="K22" s="48"/>
      <c r="L22" s="55">
        <v>314.61487001</v>
      </c>
      <c r="M22" s="48">
        <f t="shared" ref="M22" si="56">L22/L21-1</f>
        <v>-7.01624815216082E-2</v>
      </c>
      <c r="N22" s="48"/>
      <c r="O22" s="48"/>
      <c r="P22" s="55">
        <v>256.29998999999998</v>
      </c>
      <c r="Q22" s="48">
        <f t="shared" ref="Q22" si="57">P22/P21-1</f>
        <v>-8.4969722064629716E-2</v>
      </c>
    </row>
    <row r="23" spans="1:17" x14ac:dyDescent="0.3">
      <c r="A23" s="60">
        <v>45425</v>
      </c>
      <c r="B23" s="55">
        <v>22502</v>
      </c>
      <c r="C23" s="48">
        <f t="shared" si="0"/>
        <v>2.0258307349663829E-2</v>
      </c>
      <c r="D23" s="55">
        <v>783.19592824999995</v>
      </c>
      <c r="E23" s="48">
        <f t="shared" si="0"/>
        <v>9.371544199038917E-2</v>
      </c>
      <c r="F23" s="48"/>
      <c r="G23" s="48"/>
      <c r="H23" s="55">
        <v>1181.84878916</v>
      </c>
      <c r="I23" s="48">
        <f t="shared" ref="I23" si="58">H23/H22-1</f>
        <v>2.9930862716968099E-2</v>
      </c>
      <c r="J23" s="48"/>
      <c r="K23" s="48"/>
      <c r="L23" s="55">
        <v>328.85875213000003</v>
      </c>
      <c r="M23" s="48">
        <f t="shared" ref="M23" si="59">L23/L22-1</f>
        <v>4.5274027001798389E-2</v>
      </c>
      <c r="N23" s="48"/>
      <c r="O23" s="48"/>
      <c r="P23" s="55">
        <v>257.54998999999998</v>
      </c>
      <c r="Q23" s="48">
        <f t="shared" ref="Q23" si="60">P23/P22-1</f>
        <v>4.8770973420639852E-3</v>
      </c>
    </row>
    <row r="24" spans="1:17" x14ac:dyDescent="0.3">
      <c r="A24" s="60">
        <v>45433</v>
      </c>
      <c r="B24" s="55">
        <v>22957.1</v>
      </c>
      <c r="C24" s="48">
        <f t="shared" si="0"/>
        <v>2.0224868900542203E-2</v>
      </c>
      <c r="D24" s="55">
        <v>771.82161064000002</v>
      </c>
      <c r="E24" s="48">
        <f t="shared" si="0"/>
        <v>-1.4522952941564804E-2</v>
      </c>
      <c r="F24" s="48"/>
      <c r="G24" s="48"/>
      <c r="H24" s="55">
        <v>1209.8378698900001</v>
      </c>
      <c r="I24" s="48">
        <f t="shared" ref="I24" si="61">H24/H23-1</f>
        <v>2.3682454969466304E-2</v>
      </c>
      <c r="J24" s="48"/>
      <c r="K24" s="48"/>
      <c r="L24" s="55">
        <v>314.71483706999999</v>
      </c>
      <c r="M24" s="48">
        <f t="shared" ref="M24" si="62">L24/L23-1</f>
        <v>-4.3009088152255903E-2</v>
      </c>
      <c r="N24" s="48"/>
      <c r="O24" s="48"/>
      <c r="P24" s="55">
        <v>268.39999</v>
      </c>
      <c r="Q24" s="48">
        <f t="shared" ref="Q24" si="63">P24/P23-1</f>
        <v>4.2127743821694708E-2</v>
      </c>
    </row>
    <row r="25" spans="1:17" x14ac:dyDescent="0.3">
      <c r="A25" s="60">
        <v>45439</v>
      </c>
      <c r="B25" s="55">
        <v>22530.699000000001</v>
      </c>
      <c r="C25" s="48">
        <f t="shared" si="0"/>
        <v>-1.8573818121626728E-2</v>
      </c>
      <c r="D25" s="55">
        <v>730.42900501999998</v>
      </c>
      <c r="E25" s="48">
        <f t="shared" si="0"/>
        <v>-5.3629757251389965E-2</v>
      </c>
      <c r="F25" s="48"/>
      <c r="G25" s="48"/>
      <c r="H25" s="55">
        <v>1177.8081120100001</v>
      </c>
      <c r="I25" s="48">
        <f t="shared" ref="I25" si="64">H25/H24-1</f>
        <v>-2.6474421637101009E-2</v>
      </c>
      <c r="J25" s="48"/>
      <c r="K25" s="48"/>
      <c r="L25" s="55">
        <v>297.82209266000001</v>
      </c>
      <c r="M25" s="48">
        <f t="shared" ref="M25" si="65">L25/L24-1</f>
        <v>-5.3676352113779191E-2</v>
      </c>
      <c r="N25" s="48"/>
      <c r="O25" s="48"/>
      <c r="P25" s="55">
        <v>247.05</v>
      </c>
      <c r="Q25" s="48">
        <f t="shared" ref="Q25" si="66">P25/P24-1</f>
        <v>-7.954542025131961E-2</v>
      </c>
    </row>
    <row r="26" spans="1:17" x14ac:dyDescent="0.3">
      <c r="A26" s="60">
        <v>45446</v>
      </c>
      <c r="B26" s="55">
        <v>23290.15</v>
      </c>
      <c r="C26" s="48">
        <f t="shared" si="0"/>
        <v>3.3707387418384194E-2</v>
      </c>
      <c r="D26" s="55">
        <v>759.95275747999995</v>
      </c>
      <c r="E26" s="48">
        <f t="shared" si="0"/>
        <v>4.0419742722554552E-2</v>
      </c>
      <c r="F26" s="48"/>
      <c r="G26" s="48"/>
      <c r="H26" s="55">
        <v>1246.25324077</v>
      </c>
      <c r="I26" s="48">
        <f t="shared" ref="I26" si="67">H26/H25-1</f>
        <v>5.8112291859829579E-2</v>
      </c>
      <c r="J26" s="48"/>
      <c r="K26" s="48"/>
      <c r="L26" s="55">
        <v>323.31114487999997</v>
      </c>
      <c r="M26" s="48">
        <f t="shared" ref="M26" si="68">L26/L25-1</f>
        <v>8.5584826808328129E-2</v>
      </c>
      <c r="N26" s="48"/>
      <c r="O26" s="48"/>
      <c r="P26" s="55">
        <v>264.75</v>
      </c>
      <c r="Q26" s="48">
        <f t="shared" ref="Q26" si="69">P26/P25-1</f>
        <v>7.1645415907710897E-2</v>
      </c>
    </row>
    <row r="27" spans="1:17" x14ac:dyDescent="0.3">
      <c r="A27" s="60">
        <v>45453</v>
      </c>
      <c r="B27" s="55">
        <v>23465.599999999999</v>
      </c>
      <c r="C27" s="48">
        <f t="shared" si="0"/>
        <v>7.5332275661599279E-3</v>
      </c>
      <c r="D27" s="55">
        <v>925.27601110000001</v>
      </c>
      <c r="E27" s="48">
        <f t="shared" si="0"/>
        <v>0.21754411967424292</v>
      </c>
      <c r="F27" s="48"/>
      <c r="G27" s="48"/>
      <c r="H27" s="55">
        <v>1202.5449404000001</v>
      </c>
      <c r="I27" s="48">
        <f t="shared" ref="I27" si="70">H27/H26-1</f>
        <v>-3.5071764662368832E-2</v>
      </c>
      <c r="J27" s="48"/>
      <c r="K27" s="48"/>
      <c r="L27" s="55">
        <v>366.79246925000001</v>
      </c>
      <c r="M27" s="48">
        <f t="shared" ref="M27" si="71">L27/L26-1</f>
        <v>0.13448755187866634</v>
      </c>
      <c r="N27" s="48"/>
      <c r="O27" s="48"/>
      <c r="P27" s="55">
        <v>300.23000999999999</v>
      </c>
      <c r="Q27" s="48">
        <f t="shared" ref="Q27" si="72">P27/P26-1</f>
        <v>0.13401325779036832</v>
      </c>
    </row>
    <row r="28" spans="1:17" x14ac:dyDescent="0.3">
      <c r="A28" s="60">
        <v>45461</v>
      </c>
      <c r="B28" s="55">
        <v>23501.1</v>
      </c>
      <c r="C28" s="48">
        <f t="shared" si="0"/>
        <v>1.5128528569481325E-3</v>
      </c>
      <c r="D28" s="55">
        <v>858.95880394000005</v>
      </c>
      <c r="E28" s="48">
        <f t="shared" si="0"/>
        <v>-7.1672891509593772E-2</v>
      </c>
      <c r="F28" s="48"/>
      <c r="G28" s="48"/>
      <c r="H28" s="55">
        <v>1140.1115508099999</v>
      </c>
      <c r="I28" s="48">
        <f t="shared" ref="I28" si="73">H28/H27-1</f>
        <v>-5.191771840912085E-2</v>
      </c>
      <c r="J28" s="48"/>
      <c r="K28" s="48"/>
      <c r="L28" s="55">
        <v>364.99322203999998</v>
      </c>
      <c r="M28" s="48">
        <f t="shared" ref="M28" si="74">L28/L27-1</f>
        <v>-4.9053548282467219E-3</v>
      </c>
      <c r="N28" s="48"/>
      <c r="O28" s="48"/>
      <c r="P28" s="55">
        <v>301.14001000000002</v>
      </c>
      <c r="Q28" s="48">
        <f t="shared" ref="Q28" si="75">P28/P27-1</f>
        <v>3.0310094583816394E-3</v>
      </c>
    </row>
    <row r="29" spans="1:17" x14ac:dyDescent="0.3">
      <c r="A29" s="60">
        <v>45467</v>
      </c>
      <c r="B29" s="55">
        <v>24010.6</v>
      </c>
      <c r="C29" s="48">
        <f t="shared" si="0"/>
        <v>2.1679836262983532E-2</v>
      </c>
      <c r="D29" s="55">
        <v>877.20717557</v>
      </c>
      <c r="E29" s="48">
        <f t="shared" si="0"/>
        <v>2.1244757660432212E-2</v>
      </c>
      <c r="F29" s="48"/>
      <c r="G29" s="48"/>
      <c r="H29" s="55">
        <v>1166.5797659</v>
      </c>
      <c r="I29" s="48">
        <f t="shared" ref="I29" si="76">H29/H28-1</f>
        <v>2.3215460865382509E-2</v>
      </c>
      <c r="J29" s="48"/>
      <c r="K29" s="48"/>
      <c r="L29" s="55">
        <v>350.49944725</v>
      </c>
      <c r="M29" s="48">
        <f t="shared" ref="M29" si="77">L29/L28-1</f>
        <v>-3.9709709426909767E-2</v>
      </c>
      <c r="N29" s="48"/>
      <c r="O29" s="48"/>
      <c r="P29" s="55">
        <v>297.27999999999997</v>
      </c>
      <c r="Q29" s="48">
        <f t="shared" ref="Q29" si="78">P29/P28-1</f>
        <v>-1.2817991206150459E-2</v>
      </c>
    </row>
    <row r="30" spans="1:17" x14ac:dyDescent="0.3">
      <c r="A30" s="60">
        <v>45474</v>
      </c>
      <c r="B30" s="55">
        <v>24323.85</v>
      </c>
      <c r="C30" s="48">
        <f t="shared" si="0"/>
        <v>1.3046321208133094E-2</v>
      </c>
      <c r="D30" s="55">
        <v>890.80690315000004</v>
      </c>
      <c r="E30" s="48">
        <f t="shared" si="0"/>
        <v>1.5503438593241103E-2</v>
      </c>
      <c r="F30" s="48"/>
      <c r="G30" s="48"/>
      <c r="H30" s="55">
        <v>1218.4740601599999</v>
      </c>
      <c r="I30" s="48">
        <f t="shared" ref="I30" si="79">H30/H29-1</f>
        <v>4.4484137113388167E-2</v>
      </c>
      <c r="J30" s="48"/>
      <c r="K30" s="48"/>
      <c r="L30" s="55">
        <v>384.88467847999999</v>
      </c>
      <c r="M30" s="48">
        <f t="shared" ref="M30" si="80">L30/L29-1</f>
        <v>9.8103524840865486E-2</v>
      </c>
      <c r="N30" s="48"/>
      <c r="O30" s="48"/>
      <c r="P30" s="55">
        <v>320.95001000000002</v>
      </c>
      <c r="Q30" s="48">
        <f t="shared" ref="Q30" si="81">P30/P29-1</f>
        <v>7.9621938912809664E-2</v>
      </c>
    </row>
    <row r="31" spans="1:17" x14ac:dyDescent="0.3">
      <c r="A31" s="60">
        <v>45481</v>
      </c>
      <c r="B31" s="55">
        <v>24502.15</v>
      </c>
      <c r="C31" s="48">
        <f t="shared" si="0"/>
        <v>7.3302540510651326E-3</v>
      </c>
      <c r="D31" s="55">
        <v>861.67874945999995</v>
      </c>
      <c r="E31" s="48">
        <f t="shared" si="0"/>
        <v>-3.269861693594811E-2</v>
      </c>
      <c r="F31" s="48"/>
      <c r="G31" s="48"/>
      <c r="H31" s="55">
        <v>1347.1679409400001</v>
      </c>
      <c r="I31" s="48">
        <f t="shared" ref="I31" si="82">H31/H30-1</f>
        <v>0.10561889250486067</v>
      </c>
      <c r="J31" s="48"/>
      <c r="K31" s="48"/>
      <c r="L31" s="55">
        <v>362.74418802000002</v>
      </c>
      <c r="M31" s="48">
        <f t="shared" ref="M31" si="83">L31/L30-1</f>
        <v>-5.752499826035673E-2</v>
      </c>
      <c r="N31" s="48"/>
      <c r="O31" s="48"/>
      <c r="P31" s="55">
        <v>291.89999</v>
      </c>
      <c r="Q31" s="48">
        <f t="shared" ref="Q31" si="84">P31/P30-1</f>
        <v>-9.051260038907627E-2</v>
      </c>
    </row>
    <row r="32" spans="1:17" x14ac:dyDescent="0.3">
      <c r="A32" s="60">
        <v>45488</v>
      </c>
      <c r="B32" s="55">
        <v>24530.9</v>
      </c>
      <c r="C32" s="48">
        <f t="shared" si="0"/>
        <v>1.1733664188653403E-3</v>
      </c>
      <c r="D32" s="55">
        <v>858.51371205999999</v>
      </c>
      <c r="E32" s="48">
        <f t="shared" si="0"/>
        <v>-3.6731060177397357E-3</v>
      </c>
      <c r="F32" s="48"/>
      <c r="G32" s="48"/>
      <c r="H32" s="55">
        <v>1325.93394674</v>
      </c>
      <c r="I32" s="48">
        <f t="shared" ref="I32" si="85">H32/H31-1</f>
        <v>-1.5761950351330212E-2</v>
      </c>
      <c r="J32" s="48"/>
      <c r="K32" s="48"/>
      <c r="L32" s="55">
        <v>341.05352435999998</v>
      </c>
      <c r="M32" s="48">
        <f t="shared" ref="M32" si="86">L32/L31-1</f>
        <v>-5.9796033613649824E-2</v>
      </c>
      <c r="N32" s="48"/>
      <c r="O32" s="48"/>
      <c r="P32" s="55">
        <v>270.54998999999998</v>
      </c>
      <c r="Q32" s="48">
        <f t="shared" ref="Q32" si="87">P32/P31-1</f>
        <v>-7.3141489316255304E-2</v>
      </c>
    </row>
    <row r="33" spans="1:17" x14ac:dyDescent="0.3">
      <c r="A33" s="60">
        <v>45495</v>
      </c>
      <c r="B33" s="55">
        <v>24834.85</v>
      </c>
      <c r="C33" s="48">
        <f t="shared" si="0"/>
        <v>1.2390495252925682E-2</v>
      </c>
      <c r="D33" s="55">
        <v>870.43200889000002</v>
      </c>
      <c r="E33" s="48">
        <f t="shared" si="0"/>
        <v>1.3882476962892243E-2</v>
      </c>
      <c r="F33" s="48"/>
      <c r="G33" s="48"/>
      <c r="H33" s="55">
        <v>1350.59117833</v>
      </c>
      <c r="I33" s="48">
        <f t="shared" ref="I33" si="88">H33/H32-1</f>
        <v>1.8596123623370042E-2</v>
      </c>
      <c r="J33" s="48"/>
      <c r="K33" s="48"/>
      <c r="L33" s="55">
        <v>360.44519545999998</v>
      </c>
      <c r="M33" s="48">
        <f t="shared" ref="M33" si="89">L33/L32-1</f>
        <v>5.6858146053142766E-2</v>
      </c>
      <c r="N33" s="48"/>
      <c r="O33" s="48"/>
      <c r="P33" s="55">
        <v>297.5</v>
      </c>
      <c r="Q33" s="48">
        <f t="shared" ref="Q33" si="90">P33/P32-1</f>
        <v>9.9611942325335212E-2</v>
      </c>
    </row>
    <row r="34" spans="1:17" x14ac:dyDescent="0.3">
      <c r="A34" s="60">
        <v>45502</v>
      </c>
      <c r="B34" s="55">
        <v>24717.699000000001</v>
      </c>
      <c r="C34" s="48">
        <f t="shared" si="0"/>
        <v>-4.7172018353240919E-3</v>
      </c>
      <c r="D34" s="55">
        <v>872.65741885</v>
      </c>
      <c r="E34" s="48">
        <f t="shared" si="0"/>
        <v>2.5566729362789253E-3</v>
      </c>
      <c r="F34" s="48"/>
      <c r="G34" s="48"/>
      <c r="H34" s="55">
        <v>1340.47030258</v>
      </c>
      <c r="I34" s="48">
        <f t="shared" ref="I34" si="91">H34/H33-1</f>
        <v>-7.4936634507819511E-3</v>
      </c>
      <c r="J34" s="48"/>
      <c r="K34" s="48"/>
      <c r="L34" s="55">
        <v>401.32762608000002</v>
      </c>
      <c r="M34" s="48">
        <f t="shared" ref="M34" si="92">L34/L33-1</f>
        <v>0.11342204344775886</v>
      </c>
      <c r="N34" s="48"/>
      <c r="O34" s="48"/>
      <c r="P34" s="55">
        <v>284.54998999999998</v>
      </c>
      <c r="Q34" s="48">
        <f t="shared" ref="Q34" si="93">P34/P33-1</f>
        <v>-4.3529445378151288E-2</v>
      </c>
    </row>
    <row r="35" spans="1:17" x14ac:dyDescent="0.3">
      <c r="A35" s="60">
        <v>45509</v>
      </c>
      <c r="B35" s="55">
        <v>24367.5</v>
      </c>
      <c r="C35" s="48">
        <f t="shared" si="0"/>
        <v>-1.4167945001676729E-2</v>
      </c>
      <c r="D35" s="55">
        <v>828.22491186000002</v>
      </c>
      <c r="E35" s="48">
        <f t="shared" si="0"/>
        <v>-5.09163229810774E-2</v>
      </c>
      <c r="F35" s="48"/>
      <c r="G35" s="48"/>
      <c r="H35" s="55">
        <v>1231.3236033799999</v>
      </c>
      <c r="I35" s="48">
        <f t="shared" ref="I35" si="94">H35/H34-1</f>
        <v>-8.14241829825888E-2</v>
      </c>
      <c r="J35" s="48"/>
      <c r="K35" s="48"/>
      <c r="L35" s="55">
        <v>424.21778454999998</v>
      </c>
      <c r="M35" s="48">
        <f t="shared" ref="M35" si="95">L35/L34-1</f>
        <v>5.7036089674616708E-2</v>
      </c>
      <c r="N35" s="48"/>
      <c r="O35" s="48"/>
      <c r="P35" s="55">
        <v>282.75</v>
      </c>
      <c r="Q35" s="48">
        <f t="shared" ref="Q35" si="96">P35/P34-1</f>
        <v>-6.3257426225880042E-3</v>
      </c>
    </row>
    <row r="36" spans="1:17" x14ac:dyDescent="0.3">
      <c r="A36" s="60">
        <v>45516</v>
      </c>
      <c r="B36" s="55">
        <v>24541.15</v>
      </c>
      <c r="C36" s="48">
        <f t="shared" si="0"/>
        <v>7.1262952703396998E-3</v>
      </c>
      <c r="D36" s="55">
        <v>811.97738412000001</v>
      </c>
      <c r="E36" s="48">
        <f t="shared" si="0"/>
        <v>-1.9617289346576028E-2</v>
      </c>
      <c r="F36" s="48"/>
      <c r="G36" s="48"/>
      <c r="H36" s="55">
        <v>1211.6771975300001</v>
      </c>
      <c r="I36" s="48">
        <f t="shared" ref="I36" si="97">H36/H35-1</f>
        <v>-1.595551794513661E-2</v>
      </c>
      <c r="J36" s="48"/>
      <c r="K36" s="48"/>
      <c r="L36" s="55">
        <v>415.62147673999999</v>
      </c>
      <c r="M36" s="48">
        <f t="shared" ref="M36" si="98">L36/L35-1</f>
        <v>-2.0263902464906614E-2</v>
      </c>
      <c r="N36" s="48"/>
      <c r="O36" s="48"/>
      <c r="P36" s="55">
        <v>270.04998999999998</v>
      </c>
      <c r="Q36" s="48">
        <f t="shared" ref="Q36" si="99">P36/P35-1</f>
        <v>-4.4916038903625166E-2</v>
      </c>
    </row>
    <row r="37" spans="1:17" x14ac:dyDescent="0.3">
      <c r="A37" s="60">
        <v>45523</v>
      </c>
      <c r="B37" s="55">
        <v>24823.15</v>
      </c>
      <c r="C37" s="48">
        <f t="shared" si="0"/>
        <v>1.1490904052988471E-2</v>
      </c>
      <c r="D37" s="55">
        <v>834.63448519999997</v>
      </c>
      <c r="E37" s="48">
        <f t="shared" si="0"/>
        <v>2.7903611015662966E-2</v>
      </c>
      <c r="F37" s="48"/>
      <c r="G37" s="48"/>
      <c r="H37" s="55">
        <v>1288.1791112400001</v>
      </c>
      <c r="I37" s="48">
        <f t="shared" ref="I37" si="100">H37/H36-1</f>
        <v>6.3137206729604989E-2</v>
      </c>
      <c r="J37" s="48"/>
      <c r="K37" s="48"/>
      <c r="L37" s="55">
        <v>457.55347655999998</v>
      </c>
      <c r="M37" s="48">
        <f t="shared" ref="M37" si="101">L37/L36-1</f>
        <v>0.10088987736846744</v>
      </c>
      <c r="N37" s="48"/>
      <c r="O37" s="48"/>
      <c r="P37" s="55">
        <v>274.54998999999998</v>
      </c>
      <c r="Q37" s="48">
        <f t="shared" ref="Q37" si="102">P37/P36-1</f>
        <v>1.6663581435422348E-2</v>
      </c>
    </row>
    <row r="38" spans="1:17" x14ac:dyDescent="0.3">
      <c r="A38" s="60">
        <v>45530</v>
      </c>
      <c r="B38" s="55">
        <v>25235.9</v>
      </c>
      <c r="C38" s="48">
        <f t="shared" si="0"/>
        <v>1.6627623810837822E-2</v>
      </c>
      <c r="D38" s="55">
        <v>941.41081560999999</v>
      </c>
      <c r="E38" s="48">
        <f t="shared" si="0"/>
        <v>0.12793184597975671</v>
      </c>
      <c r="F38" s="48"/>
      <c r="G38" s="48"/>
      <c r="H38" s="55">
        <v>1337.09667734</v>
      </c>
      <c r="I38" s="48">
        <f t="shared" ref="I38" si="103">H38/H37-1</f>
        <v>3.7974196036226537E-2</v>
      </c>
      <c r="J38" s="48"/>
      <c r="K38" s="48"/>
      <c r="L38" s="55">
        <v>417.82054221999999</v>
      </c>
      <c r="M38" s="48">
        <f t="shared" ref="M38" si="104">L38/L37-1</f>
        <v>-8.6837793559611853E-2</v>
      </c>
      <c r="N38" s="48"/>
      <c r="O38" s="48"/>
      <c r="P38" s="55">
        <v>268.85001</v>
      </c>
      <c r="Q38" s="48">
        <f t="shared" ref="Q38" si="105">P38/P37-1</f>
        <v>-2.0761173584453507E-2</v>
      </c>
    </row>
    <row r="39" spans="1:17" x14ac:dyDescent="0.3">
      <c r="A39" s="60">
        <v>45537</v>
      </c>
      <c r="B39" s="55">
        <v>24852.15</v>
      </c>
      <c r="C39" s="48">
        <f t="shared" si="0"/>
        <v>-1.5206511358818231E-2</v>
      </c>
      <c r="D39" s="55">
        <v>986.62556518999997</v>
      </c>
      <c r="E39" s="48">
        <f t="shared" si="0"/>
        <v>4.8028712683423347E-2</v>
      </c>
      <c r="F39" s="48"/>
      <c r="G39" s="48"/>
      <c r="H39" s="55">
        <v>1387.0560982899999</v>
      </c>
      <c r="I39" s="48">
        <f t="shared" ref="I39" si="106">H39/H38-1</f>
        <v>3.7364105226398658E-2</v>
      </c>
      <c r="J39" s="48"/>
      <c r="K39" s="48"/>
      <c r="L39" s="55">
        <v>413.72229246000001</v>
      </c>
      <c r="M39" s="48">
        <f t="shared" ref="M39" si="107">L39/L38-1</f>
        <v>-9.8086363543180566E-3</v>
      </c>
      <c r="N39" s="48"/>
      <c r="O39" s="48"/>
      <c r="P39" s="55">
        <v>260.14999</v>
      </c>
      <c r="Q39" s="48">
        <f t="shared" ref="Q39" si="108">P39/P38-1</f>
        <v>-3.2360125260921468E-2</v>
      </c>
    </row>
    <row r="40" spans="1:17" x14ac:dyDescent="0.3">
      <c r="A40" s="60">
        <v>45544</v>
      </c>
      <c r="B40" s="55">
        <v>25356.5</v>
      </c>
      <c r="C40" s="48">
        <f t="shared" si="0"/>
        <v>2.0294018827344829E-2</v>
      </c>
      <c r="D40" s="55">
        <v>987.02307737000001</v>
      </c>
      <c r="E40" s="48">
        <f t="shared" si="0"/>
        <v>4.0290074981341739E-4</v>
      </c>
      <c r="F40" s="48"/>
      <c r="G40" s="48"/>
      <c r="H40" s="55">
        <v>1370.0887477799999</v>
      </c>
      <c r="I40" s="48">
        <f t="shared" ref="I40" si="109">H40/H39-1</f>
        <v>-1.2232634664825603E-2</v>
      </c>
      <c r="J40" s="48"/>
      <c r="K40" s="48"/>
      <c r="L40" s="55">
        <v>421.72224961000001</v>
      </c>
      <c r="M40" s="48">
        <f t="shared" ref="M40" si="110">L40/L39-1</f>
        <v>1.9336538774432865E-2</v>
      </c>
      <c r="N40" s="48"/>
      <c r="O40" s="48"/>
      <c r="P40" s="55">
        <v>260.2</v>
      </c>
      <c r="Q40" s="48">
        <f t="shared" ref="Q40" si="111">P40/P39-1</f>
        <v>1.9223525628420113E-4</v>
      </c>
    </row>
    <row r="41" spans="1:17" x14ac:dyDescent="0.3">
      <c r="A41" s="60">
        <v>45551</v>
      </c>
      <c r="B41" s="55">
        <v>25790.95</v>
      </c>
      <c r="C41" s="48">
        <f t="shared" si="0"/>
        <v>1.7133673811448702E-2</v>
      </c>
      <c r="D41" s="55">
        <v>935.34907784999996</v>
      </c>
      <c r="E41" s="48">
        <f t="shared" si="0"/>
        <v>-5.2353385351120107E-2</v>
      </c>
      <c r="F41" s="48"/>
      <c r="G41" s="48"/>
      <c r="H41" s="55">
        <v>1324.6936433400001</v>
      </c>
      <c r="I41" s="48">
        <f t="shared" ref="I41" si="112">H41/H40-1</f>
        <v>-3.3132966396195118E-2</v>
      </c>
      <c r="J41" s="48"/>
      <c r="K41" s="48"/>
      <c r="L41" s="55">
        <v>417.42304223000002</v>
      </c>
      <c r="M41" s="48">
        <f t="shared" ref="M41" si="113">L41/L40-1</f>
        <v>-1.0194404928779099E-2</v>
      </c>
      <c r="N41" s="48"/>
      <c r="O41" s="48"/>
      <c r="P41" s="55">
        <v>239.9</v>
      </c>
      <c r="Q41" s="48">
        <f t="shared" ref="Q41" si="114">P41/P40-1</f>
        <v>-7.8016910069177547E-2</v>
      </c>
    </row>
    <row r="42" spans="1:17" x14ac:dyDescent="0.3">
      <c r="A42" s="60">
        <v>45558</v>
      </c>
      <c r="B42" s="55">
        <v>26178.95</v>
      </c>
      <c r="C42" s="48">
        <f t="shared" si="0"/>
        <v>1.5044036764834123E-2</v>
      </c>
      <c r="D42" s="55">
        <v>1018.67340208</v>
      </c>
      <c r="E42" s="48">
        <f t="shared" si="0"/>
        <v>8.9083665342921892E-2</v>
      </c>
      <c r="F42" s="48"/>
      <c r="G42" s="48"/>
      <c r="H42" s="55">
        <v>1396.6312405399999</v>
      </c>
      <c r="I42" s="48">
        <f t="shared" ref="I42" si="115">H42/H41-1</f>
        <v>5.430508220649477E-2</v>
      </c>
      <c r="J42" s="48"/>
      <c r="K42" s="48"/>
      <c r="L42" s="55">
        <v>467.46381651000002</v>
      </c>
      <c r="M42" s="48">
        <f t="shared" ref="M42" si="116">L42/L41-1</f>
        <v>0.11988023951113735</v>
      </c>
      <c r="N42" s="48"/>
      <c r="O42" s="48"/>
      <c r="P42" s="55">
        <v>255.05</v>
      </c>
      <c r="Q42" s="48">
        <f t="shared" ref="Q42" si="117">P42/P41-1</f>
        <v>6.3151313047103086E-2</v>
      </c>
    </row>
    <row r="43" spans="1:17" x14ac:dyDescent="0.3">
      <c r="A43" s="60">
        <v>45565</v>
      </c>
      <c r="B43" s="55">
        <v>25014.6</v>
      </c>
      <c r="C43" s="48">
        <f t="shared" si="0"/>
        <v>-4.4476573735768743E-2</v>
      </c>
      <c r="D43" s="55">
        <v>1025.7785770099999</v>
      </c>
      <c r="E43" s="48">
        <f t="shared" si="0"/>
        <v>6.9749292712386612E-3</v>
      </c>
      <c r="F43" s="48"/>
      <c r="G43" s="48"/>
      <c r="H43" s="55">
        <v>1337.4439622899999</v>
      </c>
      <c r="I43" s="48">
        <f t="shared" ref="I43" si="118">H43/H42-1</f>
        <v>-4.237860111672398E-2</v>
      </c>
      <c r="J43" s="48"/>
      <c r="K43" s="48"/>
      <c r="L43" s="55">
        <v>483.56084879999997</v>
      </c>
      <c r="M43" s="48">
        <f t="shared" ref="M43" si="119">L43/L42-1</f>
        <v>3.443481981167551E-2</v>
      </c>
      <c r="N43" s="48"/>
      <c r="O43" s="48"/>
      <c r="P43" s="55">
        <v>281.55</v>
      </c>
      <c r="Q43" s="48">
        <f t="shared" ref="Q43" si="120">P43/P42-1</f>
        <v>0.10390119584395219</v>
      </c>
    </row>
    <row r="44" spans="1:17" x14ac:dyDescent="0.3">
      <c r="A44" s="60">
        <v>45572</v>
      </c>
      <c r="B44" s="55">
        <v>24964.25</v>
      </c>
      <c r="C44" s="48">
        <f t="shared" si="0"/>
        <v>-2.0128245104857889E-3</v>
      </c>
      <c r="D44" s="55">
        <v>992.43891000999997</v>
      </c>
      <c r="E44" s="48">
        <f t="shared" si="0"/>
        <v>-3.2501816422390473E-2</v>
      </c>
      <c r="F44" s="48"/>
      <c r="G44" s="48"/>
      <c r="H44" s="55">
        <v>1309.8100025399999</v>
      </c>
      <c r="I44" s="48">
        <f t="shared" ref="I44" si="121">H44/H43-1</f>
        <v>-2.0661770159464909E-2</v>
      </c>
      <c r="J44" s="48"/>
      <c r="K44" s="48"/>
      <c r="L44" s="55">
        <v>547.99896873</v>
      </c>
      <c r="M44" s="48">
        <f t="shared" ref="M44" si="122">L44/L43-1</f>
        <v>0.13325752093021803</v>
      </c>
      <c r="N44" s="48"/>
      <c r="O44" s="48"/>
      <c r="P44" s="55">
        <v>287.2</v>
      </c>
      <c r="Q44" s="48">
        <f t="shared" ref="Q44" si="123">P44/P43-1</f>
        <v>2.0067483573077416E-2</v>
      </c>
    </row>
    <row r="45" spans="1:17" x14ac:dyDescent="0.3">
      <c r="A45" s="60">
        <v>45579</v>
      </c>
      <c r="B45" s="55">
        <v>24854.05</v>
      </c>
      <c r="C45" s="48">
        <f t="shared" si="0"/>
        <v>-4.4143124668275524E-3</v>
      </c>
      <c r="D45" s="55">
        <v>985.63185430999999</v>
      </c>
      <c r="E45" s="48">
        <f t="shared" si="0"/>
        <v>-6.858916585537167E-3</v>
      </c>
      <c r="F45" s="48"/>
      <c r="G45" s="48"/>
      <c r="H45" s="55">
        <v>1284.60703745</v>
      </c>
      <c r="I45" s="48">
        <f t="shared" ref="I45" si="124">H45/H44-1</f>
        <v>-1.9241695391794211E-2</v>
      </c>
      <c r="J45" s="48"/>
      <c r="K45" s="48"/>
      <c r="L45" s="55">
        <v>570.99472914</v>
      </c>
      <c r="M45" s="48">
        <f t="shared" ref="M45" si="125">L45/L44-1</f>
        <v>4.1963145411191505E-2</v>
      </c>
      <c r="N45" s="48"/>
      <c r="O45" s="48"/>
      <c r="P45" s="55">
        <v>267.3</v>
      </c>
      <c r="Q45" s="48">
        <f t="shared" ref="Q45" si="126">P45/P44-1</f>
        <v>-6.9289693593314716E-2</v>
      </c>
    </row>
    <row r="46" spans="1:17" x14ac:dyDescent="0.3">
      <c r="A46" s="60">
        <v>45586</v>
      </c>
      <c r="B46" s="55">
        <v>24180.799999999999</v>
      </c>
      <c r="C46" s="48">
        <f t="shared" si="0"/>
        <v>-2.7088140564616281E-2</v>
      </c>
      <c r="D46" s="55">
        <v>889.43871674000002</v>
      </c>
      <c r="E46" s="48">
        <f t="shared" si="0"/>
        <v>-9.7595402532257625E-2</v>
      </c>
      <c r="F46" s="48"/>
      <c r="G46" s="48"/>
      <c r="H46" s="55">
        <v>1174.46809553</v>
      </c>
      <c r="I46" s="48">
        <f t="shared" ref="I46" si="127">H46/H45-1</f>
        <v>-8.5737458000098243E-2</v>
      </c>
      <c r="J46" s="48"/>
      <c r="K46" s="48"/>
      <c r="L46" s="55">
        <v>504.05707002999998</v>
      </c>
      <c r="M46" s="48">
        <f t="shared" ref="M46" si="128">L46/L45-1</f>
        <v>-0.11722990720215187</v>
      </c>
      <c r="N46" s="48"/>
      <c r="O46" s="48"/>
      <c r="P46" s="55">
        <v>244</v>
      </c>
      <c r="Q46" s="48">
        <f t="shared" ref="Q46" si="129">P46/P45-1</f>
        <v>-8.7167976056864993E-2</v>
      </c>
    </row>
    <row r="47" spans="1:17" x14ac:dyDescent="0.3">
      <c r="A47" s="60">
        <v>45593</v>
      </c>
      <c r="B47" s="55">
        <v>24304.35</v>
      </c>
      <c r="C47" s="48">
        <f t="shared" si="0"/>
        <v>5.1094256600276999E-3</v>
      </c>
      <c r="D47" s="55">
        <v>995.76790805999997</v>
      </c>
      <c r="E47" s="48">
        <f t="shared" si="0"/>
        <v>0.11954639405592915</v>
      </c>
      <c r="F47" s="48"/>
      <c r="G47" s="48"/>
      <c r="H47" s="55">
        <v>1283.6147947300001</v>
      </c>
      <c r="I47" s="48">
        <f t="shared" ref="I47" si="130">H47/H46-1</f>
        <v>9.2932877117232859E-2</v>
      </c>
      <c r="J47" s="48"/>
      <c r="K47" s="48"/>
      <c r="L47" s="55">
        <v>546.14930974000004</v>
      </c>
      <c r="M47" s="48">
        <f t="shared" ref="M47" si="131">L47/L46-1</f>
        <v>8.3506892795878862E-2</v>
      </c>
      <c r="N47" s="48"/>
      <c r="O47" s="48"/>
      <c r="P47" s="55">
        <v>262.7</v>
      </c>
      <c r="Q47" s="48">
        <f t="shared" ref="Q47" si="132">P47/P46-1</f>
        <v>7.6639344262295017E-2</v>
      </c>
    </row>
    <row r="48" spans="1:17" x14ac:dyDescent="0.3">
      <c r="A48" s="60">
        <v>45600</v>
      </c>
      <c r="B48" s="55">
        <v>24148.2</v>
      </c>
      <c r="C48" s="48">
        <f t="shared" si="0"/>
        <v>-6.4247758117372822E-3</v>
      </c>
      <c r="D48" s="55">
        <v>1014.2513001900001</v>
      </c>
      <c r="E48" s="48">
        <f t="shared" si="0"/>
        <v>1.8561948000523909E-2</v>
      </c>
      <c r="F48" s="48"/>
      <c r="G48" s="48"/>
      <c r="H48" s="55">
        <v>1237.2274475700001</v>
      </c>
      <c r="I48" s="48">
        <f t="shared" ref="I48" si="133">H48/H47-1</f>
        <v>-3.6138058980347942E-2</v>
      </c>
      <c r="J48" s="48"/>
      <c r="K48" s="48"/>
      <c r="L48" s="55">
        <v>564.74588119999999</v>
      </c>
      <c r="M48" s="48">
        <f t="shared" ref="M48" si="134">L48/L47-1</f>
        <v>3.4050343245609849E-2</v>
      </c>
      <c r="N48" s="48"/>
      <c r="O48" s="48"/>
      <c r="P48" s="55">
        <v>246.65</v>
      </c>
      <c r="Q48" s="48">
        <f t="shared" ref="Q48" si="135">P48/P47-1</f>
        <v>-6.1096307575180697E-2</v>
      </c>
    </row>
    <row r="49" spans="1:17" x14ac:dyDescent="0.3">
      <c r="A49" s="60">
        <v>45607</v>
      </c>
      <c r="B49" s="55">
        <v>23532.7</v>
      </c>
      <c r="C49" s="48">
        <f t="shared" si="0"/>
        <v>-2.5488442202731498E-2</v>
      </c>
      <c r="D49" s="55">
        <v>999.54408494999996</v>
      </c>
      <c r="E49" s="48">
        <f t="shared" si="0"/>
        <v>-1.4500563358651797E-2</v>
      </c>
      <c r="F49" s="48"/>
      <c r="G49" s="48"/>
      <c r="H49" s="55">
        <v>1189.6990212799999</v>
      </c>
      <c r="I49" s="48">
        <f t="shared" ref="I49" si="136">H49/H48-1</f>
        <v>-3.8415269870830326E-2</v>
      </c>
      <c r="J49" s="48"/>
      <c r="K49" s="48"/>
      <c r="L49" s="55">
        <v>531.05209311999999</v>
      </c>
      <c r="M49" s="48">
        <f t="shared" ref="M49" si="137">L49/L48-1</f>
        <v>-5.9661857131929397E-2</v>
      </c>
      <c r="N49" s="48"/>
      <c r="O49" s="48"/>
      <c r="P49" s="55">
        <v>240.85</v>
      </c>
      <c r="Q49" s="48">
        <f t="shared" ref="Q49" si="138">P49/P48-1</f>
        <v>-2.3515102371781893E-2</v>
      </c>
    </row>
    <row r="50" spans="1:17" x14ac:dyDescent="0.3">
      <c r="A50" s="60">
        <v>45614</v>
      </c>
      <c r="B50" s="55">
        <v>23907.25</v>
      </c>
      <c r="C50" s="48">
        <f t="shared" si="0"/>
        <v>1.5916150717937061E-2</v>
      </c>
      <c r="D50" s="55">
        <v>992.93577539</v>
      </c>
      <c r="E50" s="48">
        <f t="shared" si="0"/>
        <v>-6.6113237620034626E-3</v>
      </c>
      <c r="F50" s="48"/>
      <c r="G50" s="48"/>
      <c r="H50" s="55">
        <v>1113.3955561099999</v>
      </c>
      <c r="I50" s="48">
        <f t="shared" ref="I50" si="139">H50/H49-1</f>
        <v>-6.4136780652223169E-2</v>
      </c>
      <c r="J50" s="48"/>
      <c r="K50" s="48"/>
      <c r="L50" s="55">
        <v>531.60199174000002</v>
      </c>
      <c r="M50" s="48">
        <f t="shared" ref="M50" si="140">L50/L49-1</f>
        <v>1.0354890360553259E-3</v>
      </c>
      <c r="N50" s="48"/>
      <c r="O50" s="48"/>
      <c r="P50" s="55">
        <v>230.45</v>
      </c>
      <c r="Q50" s="48">
        <f t="shared" ref="Q50" si="141">P50/P49-1</f>
        <v>-4.3180402740294777E-2</v>
      </c>
    </row>
    <row r="51" spans="1:17" x14ac:dyDescent="0.3">
      <c r="A51" s="60">
        <v>45621</v>
      </c>
      <c r="B51" s="55">
        <v>24131.1</v>
      </c>
      <c r="C51" s="48">
        <f t="shared" si="0"/>
        <v>9.3632684645870157E-3</v>
      </c>
      <c r="D51" s="55">
        <v>1047.69034027</v>
      </c>
      <c r="E51" s="48">
        <f t="shared" si="0"/>
        <v>5.5144115296373197E-2</v>
      </c>
      <c r="F51" s="48"/>
      <c r="G51" s="48"/>
      <c r="H51" s="55">
        <v>1131.2063129400001</v>
      </c>
      <c r="I51" s="48">
        <f t="shared" ref="I51" si="142">H51/H50-1</f>
        <v>1.5996791735210181E-2</v>
      </c>
      <c r="J51" s="48"/>
      <c r="K51" s="48"/>
      <c r="L51" s="55">
        <v>578.79329136000001</v>
      </c>
      <c r="M51" s="48">
        <f t="shared" ref="M51" si="143">L51/L50-1</f>
        <v>8.8771863825297004E-2</v>
      </c>
      <c r="N51" s="48"/>
      <c r="O51" s="48"/>
      <c r="P51" s="55">
        <v>250.7</v>
      </c>
      <c r="Q51" s="48">
        <f t="shared" ref="Q51" si="144">P51/P50-1</f>
        <v>8.7871555651985345E-2</v>
      </c>
    </row>
    <row r="52" spans="1:17" x14ac:dyDescent="0.3">
      <c r="A52" s="60">
        <v>45628</v>
      </c>
      <c r="B52" s="55">
        <v>24677.8</v>
      </c>
      <c r="C52" s="48">
        <f t="shared" si="0"/>
        <v>2.2655411481449228E-2</v>
      </c>
      <c r="D52" s="55">
        <v>1208.0784849300001</v>
      </c>
      <c r="E52" s="48">
        <f t="shared" si="0"/>
        <v>0.15308735653577421</v>
      </c>
      <c r="F52" s="48"/>
      <c r="G52" s="48"/>
      <c r="H52" s="55">
        <v>1261.3885577999999</v>
      </c>
      <c r="I52" s="48">
        <f t="shared" ref="I52" si="145">H52/H51-1</f>
        <v>0.11508267180869658</v>
      </c>
      <c r="J52" s="48"/>
      <c r="K52" s="48"/>
      <c r="L52" s="55">
        <v>621.93533751999996</v>
      </c>
      <c r="M52" s="48">
        <f t="shared" ref="M52" si="146">L52/L51-1</f>
        <v>7.4537916738164567E-2</v>
      </c>
      <c r="N52" s="48"/>
      <c r="O52" s="48"/>
      <c r="P52" s="55">
        <v>264.89999999999998</v>
      </c>
      <c r="Q52" s="48">
        <f t="shared" ref="Q52" si="147">P52/P51-1</f>
        <v>5.6641404068607848E-2</v>
      </c>
    </row>
    <row r="53" spans="1:17" x14ac:dyDescent="0.3">
      <c r="A53" s="60">
        <v>45635</v>
      </c>
      <c r="B53" s="55">
        <v>24768.3</v>
      </c>
      <c r="C53" s="48">
        <f t="shared" si="0"/>
        <v>3.6672636944945491E-3</v>
      </c>
      <c r="D53" s="55">
        <v>1157.19947002</v>
      </c>
      <c r="E53" s="48">
        <f t="shared" si="0"/>
        <v>-4.2115653531358155E-2</v>
      </c>
      <c r="F53" s="48"/>
      <c r="G53" s="48"/>
      <c r="H53" s="55">
        <v>1293.78528261</v>
      </c>
      <c r="I53" s="48">
        <f t="shared" ref="I53" si="148">H53/H52-1</f>
        <v>2.5683382499127383E-2</v>
      </c>
      <c r="J53" s="48"/>
      <c r="K53" s="48"/>
      <c r="L53" s="55">
        <v>622.43524535999995</v>
      </c>
      <c r="M53" s="48">
        <f t="shared" ref="M53" si="149">L53/L52-1</f>
        <v>8.0379391528606625E-4</v>
      </c>
      <c r="N53" s="48"/>
      <c r="O53" s="48"/>
      <c r="P53" s="55">
        <v>293.89999999999998</v>
      </c>
      <c r="Q53" s="48">
        <f t="shared" ref="Q53" si="150">P53/P52-1</f>
        <v>0.10947527368818433</v>
      </c>
    </row>
    <row r="54" spans="1:17" x14ac:dyDescent="0.3">
      <c r="A54" s="60">
        <v>45642</v>
      </c>
      <c r="B54" s="55">
        <v>23587.5</v>
      </c>
      <c r="C54" s="48">
        <f t="shared" si="0"/>
        <v>-4.7673841159869612E-2</v>
      </c>
      <c r="D54" s="55">
        <v>1228.94683089</v>
      </c>
      <c r="E54" s="48">
        <f t="shared" si="0"/>
        <v>6.2000858735927311E-2</v>
      </c>
      <c r="F54" s="48"/>
      <c r="G54" s="48"/>
      <c r="H54" s="55">
        <v>1266.0520985799999</v>
      </c>
      <c r="I54" s="48">
        <f t="shared" ref="I54" si="151">H54/H53-1</f>
        <v>-2.1435692925840799E-2</v>
      </c>
      <c r="J54" s="48"/>
      <c r="K54" s="48"/>
      <c r="L54" s="55">
        <v>563.04619456</v>
      </c>
      <c r="M54" s="48">
        <f t="shared" ref="M54" si="152">L54/L53-1</f>
        <v>-9.5414022973025703E-2</v>
      </c>
      <c r="N54" s="48"/>
      <c r="O54" s="48"/>
      <c r="P54" s="55">
        <v>259.05</v>
      </c>
      <c r="Q54" s="48">
        <f t="shared" ref="Q54" si="153">P54/P53-1</f>
        <v>-0.1185777475331744</v>
      </c>
    </row>
    <row r="55" spans="1:17" x14ac:dyDescent="0.3">
      <c r="A55" s="60">
        <v>45649</v>
      </c>
      <c r="B55" s="55">
        <v>23813.4</v>
      </c>
      <c r="C55" s="48">
        <f t="shared" si="0"/>
        <v>9.5771065182830295E-3</v>
      </c>
      <c r="D55" s="55">
        <v>1148.1565201000001</v>
      </c>
      <c r="E55" s="48">
        <f t="shared" si="0"/>
        <v>-6.5739467940603924E-2</v>
      </c>
      <c r="F55" s="48"/>
      <c r="G55" s="48"/>
      <c r="H55" s="55">
        <v>1304.55111612</v>
      </c>
      <c r="I55" s="48">
        <f t="shared" ref="I55" si="154">H55/H54-1</f>
        <v>3.0408715078297677E-2</v>
      </c>
      <c r="J55" s="48"/>
      <c r="K55" s="48"/>
      <c r="L55" s="55">
        <v>548.64884890999997</v>
      </c>
      <c r="M55" s="48">
        <f t="shared" ref="M55" si="155">L55/L54-1</f>
        <v>-2.5570451925798099E-2</v>
      </c>
      <c r="N55" s="48"/>
      <c r="O55" s="48"/>
      <c r="P55" s="55">
        <v>260.89999999999998</v>
      </c>
      <c r="Q55" s="48">
        <f t="shared" ref="Q55" si="156">P55/P54-1</f>
        <v>7.1414784790579944E-3</v>
      </c>
    </row>
    <row r="56" spans="1:17" x14ac:dyDescent="0.3">
      <c r="A56" s="60">
        <v>45656</v>
      </c>
      <c r="B56" s="55">
        <v>24004.75</v>
      </c>
      <c r="C56" s="48">
        <f t="shared" si="0"/>
        <v>8.035391838208783E-3</v>
      </c>
      <c r="D56" s="55">
        <v>1216.12770409</v>
      </c>
      <c r="E56" s="48">
        <f t="shared" si="0"/>
        <v>5.9200276965791998E-2</v>
      </c>
      <c r="F56" s="48"/>
      <c r="G56" s="48"/>
      <c r="H56" s="55">
        <v>1271.90633063</v>
      </c>
      <c r="I56" s="48">
        <f t="shared" ref="I56" si="157">H56/H55-1</f>
        <v>-2.5023768778867139E-2</v>
      </c>
      <c r="J56" s="48"/>
      <c r="K56" s="48"/>
      <c r="L56" s="55">
        <v>556.39742035999996</v>
      </c>
      <c r="M56" s="48">
        <f t="shared" ref="M56" si="158">L56/L55-1</f>
        <v>1.4123006847447162E-2</v>
      </c>
      <c r="N56" s="48"/>
      <c r="O56" s="48"/>
      <c r="P56" s="55">
        <v>268.89999999999998</v>
      </c>
      <c r="Q56" s="48">
        <f t="shared" ref="Q56" si="159">P56/P55-1</f>
        <v>3.0663089306247615E-2</v>
      </c>
    </row>
    <row r="57" spans="1:17" x14ac:dyDescent="0.3">
      <c r="A57" s="60">
        <v>45663</v>
      </c>
      <c r="B57" s="55">
        <v>23431.5</v>
      </c>
      <c r="C57" s="48">
        <f t="shared" si="0"/>
        <v>-2.3880690280048689E-2</v>
      </c>
      <c r="D57" s="55">
        <v>969.98059483999998</v>
      </c>
      <c r="E57" s="48">
        <f t="shared" si="0"/>
        <v>-0.20240235332372936</v>
      </c>
      <c r="F57" s="48"/>
      <c r="G57" s="48"/>
      <c r="H57" s="55">
        <v>1194.3129499300001</v>
      </c>
      <c r="I57" s="48">
        <f t="shared" ref="I57" si="160">H57/H56-1</f>
        <v>-6.1005577872677463E-2</v>
      </c>
      <c r="J57" s="48"/>
      <c r="K57" s="48"/>
      <c r="L57" s="55">
        <v>466.36401926999997</v>
      </c>
      <c r="M57" s="48">
        <f t="shared" ref="M57" si="161">L57/L56-1</f>
        <v>-0.16181491465533149</v>
      </c>
      <c r="N57" s="48"/>
      <c r="O57" s="48"/>
      <c r="P57" s="55">
        <v>238.95</v>
      </c>
      <c r="Q57" s="48">
        <f t="shared" ref="Q57" si="162">P57/P56-1</f>
        <v>-0.11137969505392331</v>
      </c>
    </row>
    <row r="58" spans="1:17" x14ac:dyDescent="0.3">
      <c r="A58" s="60">
        <v>45670</v>
      </c>
      <c r="B58" s="55">
        <v>23203.200000000001</v>
      </c>
      <c r="C58" s="48">
        <f t="shared" si="0"/>
        <v>-9.7432942833365344E-3</v>
      </c>
      <c r="D58" s="55">
        <v>961.63325644999998</v>
      </c>
      <c r="E58" s="48">
        <f t="shared" si="0"/>
        <v>-8.6056756541370572E-3</v>
      </c>
      <c r="F58" s="48"/>
      <c r="G58" s="48"/>
      <c r="H58" s="55">
        <v>1169.4572697900001</v>
      </c>
      <c r="I58" s="48">
        <f t="shared" ref="I58" si="163">H58/H57-1</f>
        <v>-2.0811697755983349E-2</v>
      </c>
      <c r="J58" s="48"/>
      <c r="K58" s="48"/>
      <c r="L58" s="55">
        <v>479.41161376999997</v>
      </c>
      <c r="M58" s="48">
        <f t="shared" ref="M58" si="164">L58/L57-1</f>
        <v>2.7977275177496264E-2</v>
      </c>
      <c r="N58" s="48"/>
      <c r="O58" s="48"/>
      <c r="P58" s="55">
        <v>253.1</v>
      </c>
      <c r="Q58" s="48">
        <f t="shared" ref="Q58" si="165">P58/P57-1</f>
        <v>5.9217409499895401E-2</v>
      </c>
    </row>
    <row r="59" spans="1:17" x14ac:dyDescent="0.3">
      <c r="A59" s="60">
        <v>45677</v>
      </c>
      <c r="B59" s="55">
        <v>23092.2</v>
      </c>
      <c r="C59" s="48">
        <f t="shared" si="0"/>
        <v>-4.7838229209764549E-3</v>
      </c>
      <c r="D59" s="55">
        <v>828.67208075999997</v>
      </c>
      <c r="E59" s="48">
        <f t="shared" si="0"/>
        <v>-0.13826599152866681</v>
      </c>
      <c r="F59" s="48"/>
      <c r="G59" s="48"/>
      <c r="H59" s="55">
        <v>1046.9152938699999</v>
      </c>
      <c r="I59" s="48">
        <f t="shared" ref="I59" si="166">H59/H58-1</f>
        <v>-0.10478533853742689</v>
      </c>
      <c r="J59" s="48"/>
      <c r="K59" s="48"/>
      <c r="L59" s="55">
        <v>439.66894087999998</v>
      </c>
      <c r="M59" s="48">
        <f t="shared" ref="M59" si="167">L59/L58-1</f>
        <v>-8.2898852986625249E-2</v>
      </c>
      <c r="N59" s="48"/>
      <c r="O59" s="48"/>
      <c r="P59" s="55">
        <v>232.3</v>
      </c>
      <c r="Q59" s="48">
        <f t="shared" ref="Q59" si="168">P59/P58-1</f>
        <v>-8.2180956143816597E-2</v>
      </c>
    </row>
    <row r="60" spans="1:17" x14ac:dyDescent="0.3">
      <c r="A60" s="60">
        <v>45684</v>
      </c>
      <c r="B60" s="55">
        <v>23482.15</v>
      </c>
      <c r="C60" s="48">
        <f t="shared" si="0"/>
        <v>1.6886654368141629E-2</v>
      </c>
      <c r="D60" s="55">
        <v>821.46753275000003</v>
      </c>
      <c r="E60" s="48">
        <f t="shared" si="0"/>
        <v>-8.6940880201882287E-3</v>
      </c>
      <c r="F60" s="48"/>
      <c r="G60" s="48"/>
      <c r="H60" s="55">
        <v>1020.3231889800001</v>
      </c>
      <c r="I60" s="48">
        <f t="shared" ref="I60" si="169">H60/H59-1</f>
        <v>-2.5400435971949742E-2</v>
      </c>
      <c r="J60" s="48"/>
      <c r="K60" s="48"/>
      <c r="L60" s="55">
        <v>433.82001921</v>
      </c>
      <c r="M60" s="48">
        <f t="shared" ref="M60" si="170">L60/L59-1</f>
        <v>-1.3303013076823911E-2</v>
      </c>
      <c r="N60" s="48"/>
      <c r="O60" s="48"/>
      <c r="P60" s="55">
        <v>241.39</v>
      </c>
      <c r="Q60" s="48">
        <f t="shared" ref="Q60" si="171">P60/P59-1</f>
        <v>3.9130434782608692E-2</v>
      </c>
    </row>
    <row r="61" spans="1:17" x14ac:dyDescent="0.3">
      <c r="A61" s="60">
        <v>45691</v>
      </c>
      <c r="B61" s="55">
        <v>23559.95</v>
      </c>
      <c r="C61" s="48">
        <f t="shared" si="0"/>
        <v>3.3131548857323612E-3</v>
      </c>
      <c r="D61" s="55">
        <v>820.97066737</v>
      </c>
      <c r="E61" s="48">
        <f t="shared" si="0"/>
        <v>-6.0485090425510535E-4</v>
      </c>
      <c r="F61" s="48"/>
      <c r="G61" s="48"/>
      <c r="H61" s="55">
        <v>1032.57738657</v>
      </c>
      <c r="I61" s="48">
        <f t="shared" ref="I61" si="172">H61/H60-1</f>
        <v>1.2010113778017972E-2</v>
      </c>
      <c r="J61" s="48"/>
      <c r="K61" s="48"/>
      <c r="L61" s="55">
        <v>479.36162297999999</v>
      </c>
      <c r="M61" s="48">
        <f t="shared" ref="M61" si="173">L61/L60-1</f>
        <v>0.10497810555845888</v>
      </c>
      <c r="N61" s="48"/>
      <c r="O61" s="48"/>
      <c r="P61" s="55">
        <v>221.14</v>
      </c>
      <c r="Q61" s="48">
        <f t="shared" ref="Q61" si="174">P61/P60-1</f>
        <v>-8.3889142052280596E-2</v>
      </c>
    </row>
    <row r="62" spans="1:17" x14ac:dyDescent="0.3">
      <c r="A62" s="60">
        <v>45698</v>
      </c>
      <c r="B62" s="55">
        <v>22929.25</v>
      </c>
      <c r="C62" s="48">
        <f t="shared" si="0"/>
        <v>-2.6770005878620329E-2</v>
      </c>
      <c r="D62" s="55">
        <v>742.91311617999997</v>
      </c>
      <c r="E62" s="48">
        <f t="shared" si="0"/>
        <v>-9.5079586022311036E-2</v>
      </c>
      <c r="F62" s="48"/>
      <c r="G62" s="48"/>
      <c r="H62" s="55">
        <v>872.72708437999995</v>
      </c>
      <c r="I62" s="48">
        <f t="shared" ref="I62" si="175">H62/H61-1</f>
        <v>-0.15480709171928353</v>
      </c>
      <c r="J62" s="48"/>
      <c r="K62" s="48"/>
      <c r="L62" s="55">
        <v>423.17198232999999</v>
      </c>
      <c r="M62" s="48">
        <f t="shared" ref="M62" si="176">L62/L61-1</f>
        <v>-0.11721764521050182</v>
      </c>
      <c r="N62" s="48"/>
      <c r="O62" s="48"/>
      <c r="P62" s="55">
        <v>180.76</v>
      </c>
      <c r="Q62" s="48">
        <f t="shared" ref="Q62" si="177">P62/P61-1</f>
        <v>-0.18259925838835123</v>
      </c>
    </row>
    <row r="63" spans="1:17" x14ac:dyDescent="0.3">
      <c r="A63" s="60">
        <v>45705</v>
      </c>
      <c r="B63" s="55">
        <v>22795.9</v>
      </c>
      <c r="C63" s="48">
        <f t="shared" si="0"/>
        <v>-5.8157157342695331E-3</v>
      </c>
      <c r="D63" s="55">
        <v>751.21076802000005</v>
      </c>
      <c r="E63" s="48">
        <f t="shared" si="0"/>
        <v>1.116907436318515E-2</v>
      </c>
      <c r="F63" s="48"/>
      <c r="G63" s="48"/>
      <c r="H63" s="55">
        <v>912.46640531000003</v>
      </c>
      <c r="I63" s="48">
        <f t="shared" ref="I63" si="178">H63/H62-1</f>
        <v>4.5534648392666188E-2</v>
      </c>
      <c r="J63" s="48"/>
      <c r="K63" s="48"/>
      <c r="L63" s="55">
        <v>417.17308831000003</v>
      </c>
      <c r="M63" s="48">
        <f t="shared" ref="M63" si="179">L63/L62-1</f>
        <v>-1.4176018901274734E-2</v>
      </c>
      <c r="N63" s="48"/>
      <c r="O63" s="48"/>
      <c r="P63" s="55">
        <v>177.78</v>
      </c>
      <c r="Q63" s="48">
        <f t="shared" ref="Q63" si="180">P63/P62-1</f>
        <v>-1.6485948218632362E-2</v>
      </c>
    </row>
    <row r="64" spans="1:17" x14ac:dyDescent="0.3">
      <c r="A64" s="60">
        <v>45712</v>
      </c>
      <c r="B64" s="55">
        <v>22124.7</v>
      </c>
      <c r="C64" s="48">
        <f t="shared" si="0"/>
        <v>-2.9443891226053842E-2</v>
      </c>
      <c r="D64" s="55">
        <v>682.14648020000004</v>
      </c>
      <c r="E64" s="48">
        <f t="shared" si="0"/>
        <v>-9.193729744055168E-2</v>
      </c>
      <c r="F64" s="48"/>
      <c r="G64" s="48"/>
      <c r="H64" s="55">
        <v>872.33018729000003</v>
      </c>
      <c r="I64" s="48">
        <f t="shared" ref="I64" si="181">H64/H63-1</f>
        <v>-4.398651587218072E-2</v>
      </c>
      <c r="J64" s="48"/>
      <c r="K64" s="48"/>
      <c r="L64" s="55">
        <v>391.97773341999999</v>
      </c>
      <c r="M64" s="48">
        <f t="shared" ref="M64" si="182">L64/L63-1</f>
        <v>-6.0395446389095553E-2</v>
      </c>
      <c r="N64" s="48"/>
      <c r="O64" s="48"/>
      <c r="P64" s="55">
        <v>163.11000000000001</v>
      </c>
      <c r="Q64" s="48">
        <f t="shared" ref="Q64" si="183">P64/P63-1</f>
        <v>-8.2517718528518302E-2</v>
      </c>
    </row>
    <row r="65" spans="1:17" x14ac:dyDescent="0.3">
      <c r="A65" s="60">
        <v>45719</v>
      </c>
      <c r="B65" s="55">
        <v>22552.5</v>
      </c>
      <c r="C65" s="48">
        <f t="shared" si="0"/>
        <v>1.9335855401429125E-2</v>
      </c>
      <c r="D65" s="55">
        <v>718.46733947999996</v>
      </c>
      <c r="E65" s="48">
        <f t="shared" si="0"/>
        <v>5.3244955935785043E-2</v>
      </c>
      <c r="F65" s="48"/>
      <c r="G65" s="48"/>
      <c r="H65" s="55">
        <v>923.97642085999996</v>
      </c>
      <c r="I65" s="48">
        <f t="shared" ref="I65" si="184">H65/H64-1</f>
        <v>5.9204913830215089E-2</v>
      </c>
      <c r="J65" s="48"/>
      <c r="K65" s="48"/>
      <c r="L65" s="55">
        <v>422.62208371000003</v>
      </c>
      <c r="M65" s="48">
        <f t="shared" ref="M65" si="185">L65/L64-1</f>
        <v>7.8178803736193236E-2</v>
      </c>
      <c r="N65" s="48"/>
      <c r="O65" s="48"/>
      <c r="P65" s="55">
        <v>174.63</v>
      </c>
      <c r="Q65" s="48">
        <f t="shared" ref="Q65" si="186">P65/P64-1</f>
        <v>7.0627184108883467E-2</v>
      </c>
    </row>
    <row r="66" spans="1:17" x14ac:dyDescent="0.3">
      <c r="A66" s="60">
        <v>45726</v>
      </c>
      <c r="B66" s="55">
        <v>22397.200000000001</v>
      </c>
      <c r="C66" s="48">
        <f t="shared" si="0"/>
        <v>-6.8861545283227521E-3</v>
      </c>
      <c r="D66" s="55">
        <v>667.38957842000002</v>
      </c>
      <c r="E66" s="48">
        <f t="shared" si="0"/>
        <v>-7.109266942735093E-2</v>
      </c>
      <c r="F66" s="48"/>
      <c r="G66" s="48"/>
      <c r="H66" s="55">
        <v>850.00472608999996</v>
      </c>
      <c r="I66" s="48">
        <f t="shared" ref="I66" si="187">H66/H65-1</f>
        <v>-8.005798968457456E-2</v>
      </c>
      <c r="J66" s="48"/>
      <c r="K66" s="48"/>
      <c r="L66" s="55">
        <v>394.27730946000003</v>
      </c>
      <c r="M66" s="48">
        <f t="shared" ref="M66" si="188">L66/L65-1</f>
        <v>-6.7068843164026282E-2</v>
      </c>
      <c r="N66" s="48"/>
      <c r="O66" s="48"/>
      <c r="P66" s="55">
        <v>159.30000000000001</v>
      </c>
      <c r="Q66" s="48">
        <f t="shared" ref="Q66" si="189">P66/P65-1</f>
        <v>-8.778560384813594E-2</v>
      </c>
    </row>
    <row r="67" spans="1:17" x14ac:dyDescent="0.3">
      <c r="A67" s="60">
        <v>45733</v>
      </c>
      <c r="B67" s="55">
        <v>23350.400000000001</v>
      </c>
      <c r="C67" s="48">
        <f t="shared" si="0"/>
        <v>4.2558891289982803E-2</v>
      </c>
      <c r="D67" s="55">
        <v>833.78979417999994</v>
      </c>
      <c r="E67" s="48">
        <f t="shared" si="0"/>
        <v>0.24932995830402582</v>
      </c>
      <c r="F67" s="48"/>
      <c r="G67" s="48"/>
      <c r="H67" s="55">
        <v>965.99790006000001</v>
      </c>
      <c r="I67" s="48">
        <f t="shared" ref="I67" si="190">H67/H66-1</f>
        <v>0.1364617988697141</v>
      </c>
      <c r="J67" s="48"/>
      <c r="K67" s="48"/>
      <c r="L67" s="55">
        <v>462.61471051000001</v>
      </c>
      <c r="M67" s="48">
        <f t="shared" ref="M67" si="191">L67/L66-1</f>
        <v>0.17332319007551944</v>
      </c>
      <c r="N67" s="48"/>
      <c r="O67" s="48"/>
      <c r="P67" s="55">
        <v>174.92</v>
      </c>
      <c r="Q67" s="48">
        <f t="shared" ref="Q67" si="192">P67/P66-1</f>
        <v>9.8053986189579279E-2</v>
      </c>
    </row>
    <row r="68" spans="1:17" x14ac:dyDescent="0.3">
      <c r="A68" s="60">
        <v>45740</v>
      </c>
      <c r="B68" s="55">
        <v>23519.35</v>
      </c>
      <c r="C68" s="48">
        <f t="shared" ref="C68:E127" si="193">B68/B67-1</f>
        <v>7.2354220912702605E-3</v>
      </c>
      <c r="D68" s="55">
        <v>777.84275238999999</v>
      </c>
      <c r="E68" s="48">
        <f t="shared" si="193"/>
        <v>-6.7099696087095539E-2</v>
      </c>
      <c r="F68" s="48"/>
      <c r="G68" s="48"/>
      <c r="H68" s="55">
        <v>966.94053064000002</v>
      </c>
      <c r="I68" s="48">
        <f t="shared" ref="I68" si="194">H68/H67-1</f>
        <v>9.7581017509607015E-4</v>
      </c>
      <c r="J68" s="48"/>
      <c r="K68" s="48"/>
      <c r="L68" s="55">
        <v>437.16940170999999</v>
      </c>
      <c r="M68" s="48">
        <f t="shared" ref="M68" si="195">L68/L67-1</f>
        <v>-5.5003241838004646E-2</v>
      </c>
      <c r="N68" s="48"/>
      <c r="O68" s="48"/>
      <c r="P68" s="55">
        <v>163.94</v>
      </c>
      <c r="Q68" s="48">
        <f t="shared" ref="Q68" si="196">P68/P67-1</f>
        <v>-6.2771552709810163E-2</v>
      </c>
    </row>
    <row r="69" spans="1:17" x14ac:dyDescent="0.3">
      <c r="A69" s="60">
        <v>45748</v>
      </c>
      <c r="B69" s="55">
        <v>22904.45</v>
      </c>
      <c r="C69" s="48">
        <f t="shared" si="193"/>
        <v>-2.6144430011883713E-2</v>
      </c>
      <c r="D69" s="55">
        <v>685.07798593999996</v>
      </c>
      <c r="E69" s="48">
        <f t="shared" si="193"/>
        <v>-0.11925902268160371</v>
      </c>
      <c r="F69" s="48"/>
      <c r="G69" s="48"/>
      <c r="H69" s="55">
        <v>924.27409367999996</v>
      </c>
      <c r="I69" s="48">
        <f t="shared" ref="I69" si="197">H69/H68-1</f>
        <v>-4.4125192406362257E-2</v>
      </c>
      <c r="J69" s="48"/>
      <c r="K69" s="48"/>
      <c r="L69" s="55">
        <v>425.22160444999997</v>
      </c>
      <c r="M69" s="48">
        <f t="shared" ref="M69" si="198">L69/L68-1</f>
        <v>-2.732990280945069E-2</v>
      </c>
      <c r="N69" s="48"/>
      <c r="O69" s="48"/>
      <c r="P69" s="55">
        <v>158.53</v>
      </c>
      <c r="Q69" s="48">
        <f t="shared" ref="Q69" si="199">P69/P68-1</f>
        <v>-3.2999878004147831E-2</v>
      </c>
    </row>
    <row r="70" spans="1:17" x14ac:dyDescent="0.3">
      <c r="A70" s="60">
        <v>45754</v>
      </c>
      <c r="B70" s="55">
        <v>22828.55</v>
      </c>
      <c r="C70" s="48">
        <f t="shared" si="193"/>
        <v>-3.3137665388167648E-3</v>
      </c>
      <c r="D70" s="55">
        <v>655.91198813999995</v>
      </c>
      <c r="E70" s="48">
        <f t="shared" si="193"/>
        <v>-4.2573252094768699E-2</v>
      </c>
      <c r="F70" s="48"/>
      <c r="G70" s="48"/>
      <c r="H70" s="55">
        <v>889.34714994000001</v>
      </c>
      <c r="I70" s="48">
        <f t="shared" ref="I70" si="200">H70/H69-1</f>
        <v>-3.7788513146504221E-2</v>
      </c>
      <c r="J70" s="48"/>
      <c r="K70" s="48"/>
      <c r="L70" s="55">
        <v>426.12143854999999</v>
      </c>
      <c r="M70" s="48">
        <f t="shared" ref="M70" si="201">L70/L69-1</f>
        <v>2.1161532965003893E-3</v>
      </c>
      <c r="N70" s="48"/>
      <c r="O70" s="48"/>
      <c r="P70" s="55">
        <v>161.88</v>
      </c>
      <c r="Q70" s="48">
        <f t="shared" ref="Q70" si="202">P70/P69-1</f>
        <v>2.1131647006875642E-2</v>
      </c>
    </row>
    <row r="71" spans="1:17" x14ac:dyDescent="0.3">
      <c r="A71" s="60">
        <v>45762</v>
      </c>
      <c r="B71" s="55">
        <v>23851.65</v>
      </c>
      <c r="C71" s="48">
        <f t="shared" si="193"/>
        <v>4.4816687875489425E-2</v>
      </c>
      <c r="D71" s="55">
        <v>706.44319728000005</v>
      </c>
      <c r="E71" s="48">
        <f t="shared" si="193"/>
        <v>7.7039618201359295E-2</v>
      </c>
      <c r="F71" s="48"/>
      <c r="G71" s="48"/>
      <c r="H71" s="55">
        <v>927.00276115999998</v>
      </c>
      <c r="I71" s="48">
        <f t="shared" ref="I71" si="203">H71/H70-1</f>
        <v>4.2340734124509671E-2</v>
      </c>
      <c r="J71" s="48"/>
      <c r="K71" s="48"/>
      <c r="L71" s="55">
        <v>438.01924502999998</v>
      </c>
      <c r="M71" s="48">
        <f t="shared" ref="M71" si="204">L71/L70-1</f>
        <v>2.7921163789565995E-2</v>
      </c>
      <c r="N71" s="48"/>
      <c r="O71" s="48"/>
      <c r="P71" s="55">
        <v>172.01</v>
      </c>
      <c r="Q71" s="48">
        <f t="shared" ref="Q71" si="205">P71/P70-1</f>
        <v>6.2577217692117548E-2</v>
      </c>
    </row>
    <row r="72" spans="1:17" x14ac:dyDescent="0.3">
      <c r="A72" s="60">
        <v>45768</v>
      </c>
      <c r="B72" s="55">
        <v>24039.35</v>
      </c>
      <c r="C72" s="48">
        <f t="shared" si="193"/>
        <v>7.86947653516612E-3</v>
      </c>
      <c r="D72" s="55">
        <v>718.66608563</v>
      </c>
      <c r="E72" s="48">
        <f t="shared" si="193"/>
        <v>1.7302011537603246E-2</v>
      </c>
      <c r="F72" s="48"/>
      <c r="G72" s="48"/>
      <c r="H72" s="55">
        <v>937.66937040000005</v>
      </c>
      <c r="I72" s="48">
        <f t="shared" ref="I72" si="206">H72/H71-1</f>
        <v>1.1506556061011475E-2</v>
      </c>
      <c r="J72" s="48"/>
      <c r="K72" s="48"/>
      <c r="L72" s="55">
        <v>442.86835102999999</v>
      </c>
      <c r="M72" s="48">
        <f t="shared" ref="M72" si="207">L72/L71-1</f>
        <v>1.1070531843110798E-2</v>
      </c>
      <c r="N72" s="48"/>
      <c r="O72" s="48"/>
      <c r="P72" s="55">
        <v>175.65</v>
      </c>
      <c r="Q72" s="48">
        <f t="shared" ref="Q72" si="208">P72/P71-1</f>
        <v>2.1161560374396871E-2</v>
      </c>
    </row>
    <row r="73" spans="1:17" x14ac:dyDescent="0.3">
      <c r="A73" s="60">
        <v>45775</v>
      </c>
      <c r="B73" s="55">
        <v>24346.7</v>
      </c>
      <c r="C73" s="48">
        <f t="shared" si="193"/>
        <v>1.2785287455775673E-2</v>
      </c>
      <c r="D73" s="55">
        <v>698.79147043</v>
      </c>
      <c r="E73" s="48">
        <f t="shared" si="193"/>
        <v>-2.7654867256714066E-2</v>
      </c>
      <c r="F73" s="48"/>
      <c r="G73" s="48"/>
      <c r="H73" s="55">
        <v>959.44909810000001</v>
      </c>
      <c r="I73" s="48">
        <f t="shared" ref="I73" si="209">H73/H72-1</f>
        <v>2.3227513223247342E-2</v>
      </c>
      <c r="J73" s="48"/>
      <c r="K73" s="48"/>
      <c r="L73" s="55">
        <v>467.56379808000003</v>
      </c>
      <c r="M73" s="48">
        <f t="shared" ref="M73" si="210">L73/L72-1</f>
        <v>5.5762501412811805E-2</v>
      </c>
      <c r="N73" s="48"/>
      <c r="O73" s="48"/>
      <c r="P73" s="55">
        <v>168.89</v>
      </c>
      <c r="Q73" s="48">
        <f t="shared" ref="Q73" si="211">P73/P72-1</f>
        <v>-3.8485624822089504E-2</v>
      </c>
    </row>
    <row r="74" spans="1:17" x14ac:dyDescent="0.3">
      <c r="A74" s="60">
        <v>45782</v>
      </c>
      <c r="B74" s="55">
        <v>24008</v>
      </c>
      <c r="C74" s="48">
        <f t="shared" si="193"/>
        <v>-1.391153626569519E-2</v>
      </c>
      <c r="D74" s="55">
        <v>690.49381859000005</v>
      </c>
      <c r="E74" s="48">
        <f t="shared" si="193"/>
        <v>-1.1874288956180368E-2</v>
      </c>
      <c r="F74" s="48"/>
      <c r="G74" s="48"/>
      <c r="H74" s="55">
        <v>912.46640531000003</v>
      </c>
      <c r="I74" s="48">
        <f t="shared" ref="I74" si="212">H74/H73-1</f>
        <v>-4.8968405810209115E-2</v>
      </c>
      <c r="J74" s="48"/>
      <c r="K74" s="48"/>
      <c r="L74" s="55">
        <v>440.41880264000002</v>
      </c>
      <c r="M74" s="48">
        <f t="shared" ref="M74" si="213">L74/L73-1</f>
        <v>-5.8056238638380386E-2</v>
      </c>
      <c r="N74" s="48"/>
      <c r="O74" s="48"/>
      <c r="P74" s="55">
        <v>163.11000000000001</v>
      </c>
      <c r="Q74" s="48">
        <f t="shared" ref="Q74" si="214">P74/P73-1</f>
        <v>-3.4223459056190286E-2</v>
      </c>
    </row>
    <row r="75" spans="1:17" x14ac:dyDescent="0.3">
      <c r="A75" s="60">
        <v>45789</v>
      </c>
      <c r="B75" s="55">
        <v>25019.8</v>
      </c>
      <c r="C75" s="48">
        <f t="shared" si="193"/>
        <v>4.2144285238253865E-2</v>
      </c>
      <c r="D75" s="55">
        <v>795.58084645999998</v>
      </c>
      <c r="E75" s="48">
        <f t="shared" si="193"/>
        <v>0.15219112038481297</v>
      </c>
      <c r="F75" s="48"/>
      <c r="G75" s="48"/>
      <c r="H75" s="55">
        <v>1085.3150871400001</v>
      </c>
      <c r="I75" s="48">
        <f t="shared" ref="I75" si="215">H75/H74-1</f>
        <v>0.18943018704483339</v>
      </c>
      <c r="J75" s="48"/>
      <c r="K75" s="48"/>
      <c r="L75" s="55">
        <v>472.11295937</v>
      </c>
      <c r="M75" s="48">
        <f t="shared" ref="M75" si="216">L75/L74-1</f>
        <v>7.1963677617794319E-2</v>
      </c>
      <c r="N75" s="48"/>
      <c r="O75" s="48"/>
      <c r="P75" s="55">
        <v>205.2</v>
      </c>
      <c r="Q75" s="48">
        <f t="shared" ref="Q75" si="217">P75/P74-1</f>
        <v>0.25804671693948844</v>
      </c>
    </row>
    <row r="76" spans="1:17" x14ac:dyDescent="0.3">
      <c r="A76" s="60">
        <v>45796</v>
      </c>
      <c r="B76" s="55">
        <v>24853.15</v>
      </c>
      <c r="C76" s="48">
        <f t="shared" si="193"/>
        <v>-6.660724706032739E-3</v>
      </c>
      <c r="D76" s="55">
        <v>810.03962901</v>
      </c>
      <c r="E76" s="48">
        <f t="shared" si="193"/>
        <v>1.8173869587654767E-2</v>
      </c>
      <c r="F76" s="48"/>
      <c r="G76" s="48"/>
      <c r="H76" s="55">
        <v>1097.9165696800001</v>
      </c>
      <c r="I76" s="48">
        <f t="shared" ref="I76" si="218">H76/H75-1</f>
        <v>1.1610897783801422E-2</v>
      </c>
      <c r="J76" s="48"/>
      <c r="K76" s="48"/>
      <c r="L76" s="55">
        <v>493.70897785</v>
      </c>
      <c r="M76" s="48">
        <f t="shared" ref="M76" si="219">L76/L75-1</f>
        <v>4.5743329115172537E-2</v>
      </c>
      <c r="N76" s="48"/>
      <c r="O76" s="48"/>
      <c r="P76" s="55">
        <v>208.95</v>
      </c>
      <c r="Q76" s="48">
        <f t="shared" ref="Q76" si="220">P76/P75-1</f>
        <v>1.8274853801169666E-2</v>
      </c>
    </row>
    <row r="77" spans="1:17" x14ac:dyDescent="0.3">
      <c r="A77" s="60">
        <v>45803</v>
      </c>
      <c r="B77" s="55">
        <v>24750.7</v>
      </c>
      <c r="C77" s="48">
        <f t="shared" si="193"/>
        <v>-4.1222138843567402E-3</v>
      </c>
      <c r="D77" s="55">
        <v>827.18148461999999</v>
      </c>
      <c r="E77" s="48">
        <f t="shared" si="193"/>
        <v>2.1161749371385818E-2</v>
      </c>
      <c r="F77" s="48"/>
      <c r="G77" s="48"/>
      <c r="H77" s="55">
        <v>1129.9163974000001</v>
      </c>
      <c r="I77" s="48">
        <f t="shared" ref="I77" si="221">H77/H76-1</f>
        <v>2.914595571622236E-2</v>
      </c>
      <c r="J77" s="48"/>
      <c r="K77" s="48"/>
      <c r="L77" s="55">
        <v>491.50938337000002</v>
      </c>
      <c r="M77" s="48">
        <f t="shared" ref="M77" si="222">L77/L76-1</f>
        <v>-4.4552450505939145E-3</v>
      </c>
      <c r="N77" s="48"/>
      <c r="O77" s="48"/>
      <c r="P77" s="55">
        <v>211.88</v>
      </c>
      <c r="Q77" s="48">
        <f t="shared" ref="Q77" si="223">P77/P76-1</f>
        <v>1.4022493419478366E-2</v>
      </c>
    </row>
    <row r="78" spans="1:17" x14ac:dyDescent="0.3">
      <c r="A78" s="60">
        <v>45810</v>
      </c>
      <c r="B78" s="55">
        <v>25003.05</v>
      </c>
      <c r="C78" s="48">
        <f t="shared" si="193"/>
        <v>1.0195671233540704E-2</v>
      </c>
      <c r="D78" s="55">
        <v>883.67507833000002</v>
      </c>
      <c r="E78" s="48">
        <f t="shared" si="193"/>
        <v>6.8296492076285631E-2</v>
      </c>
      <c r="F78" s="48"/>
      <c r="G78" s="48"/>
      <c r="H78" s="55">
        <v>1140.88067946</v>
      </c>
      <c r="I78" s="48">
        <f t="shared" ref="I78" si="224">H78/H77-1</f>
        <v>9.7036223965147883E-3</v>
      </c>
      <c r="J78" s="48"/>
      <c r="K78" s="48"/>
      <c r="L78" s="55">
        <v>486.66027737000002</v>
      </c>
      <c r="M78" s="48">
        <f t="shared" ref="M78" si="225">L78/L77-1</f>
        <v>-9.8657445087872997E-3</v>
      </c>
      <c r="N78" s="48"/>
      <c r="O78" s="48"/>
      <c r="P78" s="55">
        <v>215.56</v>
      </c>
      <c r="Q78" s="48">
        <f t="shared" ref="Q78" si="226">P78/P77-1</f>
        <v>1.7368321691523469E-2</v>
      </c>
    </row>
    <row r="79" spans="1:17" x14ac:dyDescent="0.3">
      <c r="A79" s="60">
        <v>45817</v>
      </c>
      <c r="B79" s="55">
        <v>24718.6</v>
      </c>
      <c r="C79" s="48">
        <f t="shared" si="193"/>
        <v>-1.1376612053329516E-2</v>
      </c>
      <c r="D79" s="55">
        <v>870.11065345999998</v>
      </c>
      <c r="E79" s="48">
        <f t="shared" si="193"/>
        <v>-1.5350014052262884E-2</v>
      </c>
      <c r="F79" s="48"/>
      <c r="G79" s="48"/>
      <c r="H79" s="55">
        <v>1152.0930221900001</v>
      </c>
      <c r="I79" s="48">
        <f t="shared" ref="I79" si="227">H79/H78-1</f>
        <v>9.8277961331654229E-3</v>
      </c>
      <c r="J79" s="48"/>
      <c r="K79" s="48"/>
      <c r="L79" s="55">
        <v>510.55587188999999</v>
      </c>
      <c r="M79" s="48">
        <f t="shared" ref="M79" si="228">L79/L78-1</f>
        <v>4.9101181319207043E-2</v>
      </c>
      <c r="N79" s="48"/>
      <c r="O79" s="48"/>
      <c r="P79" s="55">
        <v>217.19</v>
      </c>
      <c r="Q79" s="48">
        <f t="shared" ref="Q79" si="229">P79/P78-1</f>
        <v>7.5616997587677481E-3</v>
      </c>
    </row>
    <row r="80" spans="1:17" x14ac:dyDescent="0.3">
      <c r="A80" s="60">
        <v>45824</v>
      </c>
      <c r="B80" s="55">
        <v>25112.400000000001</v>
      </c>
      <c r="C80" s="48">
        <f t="shared" si="193"/>
        <v>1.5931322971365791E-2</v>
      </c>
      <c r="D80" s="55">
        <v>891.77398401999994</v>
      </c>
      <c r="E80" s="48">
        <f t="shared" si="193"/>
        <v>2.4897213330115742E-2</v>
      </c>
      <c r="F80" s="48"/>
      <c r="G80" s="48"/>
      <c r="H80" s="55">
        <v>1151.2000037400001</v>
      </c>
      <c r="I80" s="48">
        <f t="shared" ref="I80" si="230">H80/H79-1</f>
        <v>-7.7512703644577741E-4</v>
      </c>
      <c r="J80" s="48"/>
      <c r="K80" s="48"/>
      <c r="L80" s="55">
        <v>482.36106998999998</v>
      </c>
      <c r="M80" s="48">
        <f t="shared" ref="M80" si="231">L80/L79-1</f>
        <v>-5.5223734467350627E-2</v>
      </c>
      <c r="N80" s="48"/>
      <c r="O80" s="48"/>
      <c r="P80" s="55">
        <v>201.84</v>
      </c>
      <c r="Q80" s="48">
        <f t="shared" ref="Q80" si="232">P80/P79-1</f>
        <v>-7.0675445462498265E-2</v>
      </c>
    </row>
    <row r="81" spans="1:17" x14ac:dyDescent="0.3">
      <c r="A81" s="60">
        <v>45831</v>
      </c>
      <c r="B81" s="55">
        <v>25637.8</v>
      </c>
      <c r="C81" s="48">
        <f t="shared" si="193"/>
        <v>2.092193498032846E-2</v>
      </c>
      <c r="D81" s="55">
        <v>900.36975510000002</v>
      </c>
      <c r="E81" s="48">
        <f t="shared" si="193"/>
        <v>9.6389569936223829E-3</v>
      </c>
      <c r="F81" s="48"/>
      <c r="G81" s="48"/>
      <c r="H81" s="55">
        <v>1227</v>
      </c>
      <c r="I81" s="48">
        <f t="shared" ref="I81" si="233">H81/H80-1</f>
        <v>6.5844332881985768E-2</v>
      </c>
      <c r="J81" s="48"/>
      <c r="K81" s="48"/>
      <c r="L81" s="55">
        <v>498.95801010999998</v>
      </c>
      <c r="M81" s="48">
        <f t="shared" ref="M81" si="234">L81/L80-1</f>
        <v>3.4407710639550837E-2</v>
      </c>
      <c r="N81" s="48"/>
      <c r="O81" s="48"/>
      <c r="P81" s="55">
        <v>239.86</v>
      </c>
      <c r="Q81" s="48">
        <f t="shared" ref="Q81" si="235">P81/P80-1</f>
        <v>0.18836702338485933</v>
      </c>
    </row>
    <row r="82" spans="1:17" x14ac:dyDescent="0.3">
      <c r="A82" s="60">
        <v>45838</v>
      </c>
      <c r="B82" s="55">
        <v>25461</v>
      </c>
      <c r="C82" s="48">
        <f t="shared" si="193"/>
        <v>-6.8960675252947023E-3</v>
      </c>
      <c r="D82" s="55">
        <v>893.36395324</v>
      </c>
      <c r="E82" s="48">
        <f t="shared" si="193"/>
        <v>-7.7810275393156436E-3</v>
      </c>
      <c r="F82" s="48"/>
      <c r="G82" s="48"/>
      <c r="H82" s="55">
        <v>1192.9000000000001</v>
      </c>
      <c r="I82" s="48">
        <f t="shared" ref="I82" si="236">H82/H81-1</f>
        <v>-2.7791361043194684E-2</v>
      </c>
      <c r="J82" s="48"/>
      <c r="K82" s="48"/>
      <c r="L82" s="55">
        <v>495.00873822</v>
      </c>
      <c r="M82" s="48">
        <f t="shared" ref="M82" si="237">L82/L81-1</f>
        <v>-7.915038560317611E-3</v>
      </c>
      <c r="N82" s="48"/>
      <c r="O82" s="48"/>
      <c r="P82" s="55">
        <v>249.73</v>
      </c>
      <c r="Q82" s="48">
        <f t="shared" ref="Q82" si="238">P82/P81-1</f>
        <v>4.1149003585424726E-2</v>
      </c>
    </row>
    <row r="83" spans="1:17" x14ac:dyDescent="0.3">
      <c r="A83" s="60">
        <v>45845</v>
      </c>
      <c r="B83" s="55">
        <v>25149.85</v>
      </c>
      <c r="C83" s="48">
        <f t="shared" si="193"/>
        <v>-1.2220651192019205E-2</v>
      </c>
      <c r="D83" s="55">
        <v>859.22930163000001</v>
      </c>
      <c r="E83" s="48">
        <f t="shared" si="193"/>
        <v>-3.8209121250306177E-2</v>
      </c>
      <c r="F83" s="48"/>
      <c r="G83" s="48"/>
      <c r="H83" s="55">
        <v>1191.7</v>
      </c>
      <c r="I83" s="48">
        <f t="shared" ref="I83" si="239">H83/H82-1</f>
        <v>-1.0059518819683921E-3</v>
      </c>
      <c r="J83" s="48"/>
      <c r="K83" s="48"/>
      <c r="L83" s="55">
        <v>479.21165063000001</v>
      </c>
      <c r="M83" s="48">
        <f t="shared" ref="M83" si="240">L83/L82-1</f>
        <v>-3.1912744907907409E-2</v>
      </c>
      <c r="N83" s="48"/>
      <c r="O83" s="48"/>
      <c r="P83" s="55">
        <v>245.61</v>
      </c>
      <c r="Q83" s="48">
        <f t="shared" ref="Q83" si="241">P83/P82-1</f>
        <v>-1.6497817643054358E-2</v>
      </c>
    </row>
    <row r="84" spans="1:17" x14ac:dyDescent="0.3">
      <c r="A84" s="60">
        <v>45852</v>
      </c>
      <c r="B84" s="55">
        <v>24968.400000000001</v>
      </c>
      <c r="C84" s="48">
        <f t="shared" si="193"/>
        <v>-7.214754759968578E-3</v>
      </c>
      <c r="D84" s="55">
        <v>869.56410154000002</v>
      </c>
      <c r="E84" s="48">
        <f t="shared" si="193"/>
        <v>1.202798821035822E-2</v>
      </c>
      <c r="F84" s="48"/>
      <c r="G84" s="48"/>
      <c r="H84" s="55">
        <v>1196</v>
      </c>
      <c r="I84" s="48">
        <f t="shared" ref="I84" si="242">H84/H83-1</f>
        <v>3.608290677183712E-3</v>
      </c>
      <c r="J84" s="48"/>
      <c r="K84" s="48"/>
      <c r="L84" s="55">
        <v>491.10945709999999</v>
      </c>
      <c r="M84" s="48">
        <f t="shared" ref="M84" si="243">L84/L83-1</f>
        <v>2.4827873976683179E-2</v>
      </c>
      <c r="N84" s="48"/>
      <c r="O84" s="48"/>
      <c r="P84" s="55">
        <v>256.18</v>
      </c>
      <c r="Q84" s="48">
        <f t="shared" ref="Q84" si="244">P84/P83-1</f>
        <v>4.3035707015186553E-2</v>
      </c>
    </row>
    <row r="85" spans="1:17" x14ac:dyDescent="0.3">
      <c r="A85" s="60">
        <v>45859</v>
      </c>
      <c r="B85" s="55">
        <v>24837</v>
      </c>
      <c r="C85" s="48">
        <f t="shared" si="193"/>
        <v>-5.2626519921180615E-3</v>
      </c>
      <c r="D85" s="55">
        <v>861.3</v>
      </c>
      <c r="E85" s="48">
        <f t="shared" si="193"/>
        <v>-9.5037289664606783E-3</v>
      </c>
      <c r="F85" s="48"/>
      <c r="G85" s="48"/>
      <c r="H85" s="55">
        <v>1152</v>
      </c>
      <c r="I85" s="48">
        <f t="shared" ref="I85" si="245">H85/H84-1</f>
        <v>-3.6789297658862852E-2</v>
      </c>
      <c r="J85" s="48"/>
      <c r="K85" s="48"/>
      <c r="L85" s="55">
        <v>458.06554920999997</v>
      </c>
      <c r="M85" s="48">
        <f t="shared" ref="M85" si="246">L85/L84-1</f>
        <v>-6.72842019478187E-2</v>
      </c>
      <c r="N85" s="48"/>
      <c r="O85" s="48"/>
      <c r="P85" s="55">
        <v>235.93</v>
      </c>
      <c r="Q85" s="48">
        <f t="shared" ref="Q85" si="247">P85/P84-1</f>
        <v>-7.9045983292997057E-2</v>
      </c>
    </row>
    <row r="86" spans="1:17" x14ac:dyDescent="0.3">
      <c r="A86" s="60">
        <v>45866</v>
      </c>
      <c r="B86" s="55">
        <v>24565.35</v>
      </c>
      <c r="C86" s="48">
        <f t="shared" si="193"/>
        <v>-1.0937311269477057E-2</v>
      </c>
      <c r="D86" s="55">
        <v>823.9</v>
      </c>
      <c r="E86" s="48">
        <f t="shared" si="193"/>
        <v>-4.3422733077905451E-2</v>
      </c>
      <c r="F86" s="48"/>
      <c r="G86" s="48"/>
      <c r="H86" s="55">
        <v>1121.2</v>
      </c>
      <c r="I86" s="48">
        <f t="shared" ref="I86" si="248">H86/H85-1</f>
        <v>-2.6736111111111072E-2</v>
      </c>
      <c r="J86" s="48"/>
      <c r="K86" s="48"/>
      <c r="L86" s="55">
        <v>516.15483963999998</v>
      </c>
      <c r="M86" s="48">
        <f t="shared" ref="M86" si="249">L86/L85-1</f>
        <v>0.12681436211516739</v>
      </c>
      <c r="N86" s="48"/>
      <c r="O86" s="48"/>
      <c r="P86" s="55">
        <v>236.3</v>
      </c>
      <c r="Q86" s="48">
        <f t="shared" ref="Q86" si="250">P86/P85-1</f>
        <v>1.5682617725596426E-3</v>
      </c>
    </row>
    <row r="87" spans="1:17" x14ac:dyDescent="0.3">
      <c r="A87" s="60">
        <v>45873</v>
      </c>
      <c r="B87" s="55">
        <v>24363.3</v>
      </c>
      <c r="C87" s="48">
        <f t="shared" si="193"/>
        <v>-8.2249998473459263E-3</v>
      </c>
      <c r="D87" s="55">
        <v>806.05</v>
      </c>
      <c r="E87" s="48">
        <f t="shared" si="193"/>
        <v>-2.1665250637213251E-2</v>
      </c>
      <c r="F87" s="48"/>
      <c r="G87" s="48"/>
      <c r="H87" s="55">
        <v>1183.5999999999999</v>
      </c>
      <c r="I87" s="48">
        <f t="shared" ref="I87" si="251">H87/H86-1</f>
        <v>5.5654655726007807E-2</v>
      </c>
      <c r="J87" s="48"/>
      <c r="K87" s="48"/>
      <c r="L87" s="55">
        <v>503.10724513999997</v>
      </c>
      <c r="M87" s="48">
        <f t="shared" ref="M87" si="252">L87/L86-1</f>
        <v>-2.5278450375666783E-2</v>
      </c>
      <c r="N87" s="48"/>
      <c r="O87" s="48"/>
      <c r="P87" s="55">
        <v>235.91</v>
      </c>
      <c r="Q87" s="48">
        <f t="shared" ref="Q87" si="253">P87/P86-1</f>
        <v>-1.6504443504020694E-3</v>
      </c>
    </row>
    <row r="88" spans="1:17" x14ac:dyDescent="0.3">
      <c r="A88" s="60">
        <v>45880</v>
      </c>
      <c r="B88" s="55">
        <v>24631.3</v>
      </c>
      <c r="C88" s="48">
        <f t="shared" si="193"/>
        <v>1.100015186776826E-2</v>
      </c>
      <c r="D88" s="55">
        <v>778.55</v>
      </c>
      <c r="E88" s="48">
        <f t="shared" si="193"/>
        <v>-3.4116990261150004E-2</v>
      </c>
      <c r="F88" s="48"/>
      <c r="G88" s="48"/>
      <c r="H88" s="55">
        <v>1232.0999999999999</v>
      </c>
      <c r="I88" s="48">
        <f t="shared" ref="I88" si="254">H88/H87-1</f>
        <v>4.097668131125376E-2</v>
      </c>
      <c r="J88" s="48"/>
      <c r="K88" s="48"/>
      <c r="L88" s="55">
        <v>522.25371522</v>
      </c>
      <c r="M88" s="48">
        <f t="shared" ref="M88" si="255">L88/L87-1</f>
        <v>3.8056438791041813E-2</v>
      </c>
      <c r="N88" s="48"/>
      <c r="O88" s="48"/>
      <c r="P88" s="55">
        <v>212.72</v>
      </c>
      <c r="Q88" s="48">
        <f t="shared" ref="Q88" si="256">P88/P87-1</f>
        <v>-9.8300199228519292E-2</v>
      </c>
    </row>
    <row r="89" spans="1:17" x14ac:dyDescent="0.3">
      <c r="A89" s="60">
        <v>45887</v>
      </c>
      <c r="B89" s="55">
        <v>24870.1</v>
      </c>
      <c r="C89" s="48">
        <f t="shared" si="193"/>
        <v>9.6949815884666002E-3</v>
      </c>
      <c r="D89" s="55">
        <v>824.75</v>
      </c>
      <c r="E89" s="48">
        <f t="shared" si="193"/>
        <v>5.9341082782095045E-2</v>
      </c>
      <c r="F89" s="48"/>
      <c r="G89" s="48"/>
      <c r="H89" s="55">
        <v>1300.0999999999999</v>
      </c>
      <c r="I89" s="48">
        <f t="shared" ref="I89" si="257">H89/H88-1</f>
        <v>5.5190325460595657E-2</v>
      </c>
      <c r="J89" s="48"/>
      <c r="K89" s="48"/>
      <c r="L89" s="55">
        <v>539.70049867</v>
      </c>
      <c r="M89" s="48">
        <f t="shared" ref="M89" si="258">L89/L88-1</f>
        <v>3.3406719648993777E-2</v>
      </c>
      <c r="N89" s="48"/>
      <c r="O89" s="48"/>
      <c r="P89" s="55">
        <v>206.42</v>
      </c>
      <c r="Q89" s="48">
        <f t="shared" ref="Q89" si="259">P89/P88-1</f>
        <v>-2.9616397141782658E-2</v>
      </c>
    </row>
    <row r="90" spans="1:17" x14ac:dyDescent="0.3">
      <c r="A90" s="60">
        <v>45894</v>
      </c>
      <c r="B90" s="55">
        <v>24426.85</v>
      </c>
      <c r="C90" s="48">
        <f t="shared" si="193"/>
        <v>-1.7822606262138052E-2</v>
      </c>
      <c r="D90" s="55">
        <v>808.1</v>
      </c>
      <c r="E90" s="48">
        <f t="shared" si="193"/>
        <v>-2.0187935738102403E-2</v>
      </c>
      <c r="F90" s="48"/>
      <c r="G90" s="48"/>
      <c r="H90" s="55">
        <v>1249</v>
      </c>
      <c r="I90" s="48">
        <f t="shared" ref="I90" si="260">H90/H89-1</f>
        <v>-3.9304668871625204E-2</v>
      </c>
      <c r="J90" s="48"/>
      <c r="K90" s="48"/>
      <c r="L90" s="55">
        <v>512.85544792999997</v>
      </c>
      <c r="M90" s="48">
        <f t="shared" ref="M90" si="261">L90/L89-1</f>
        <v>-4.9740644683773816E-2</v>
      </c>
      <c r="N90" s="48"/>
      <c r="O90" s="48"/>
      <c r="P90" s="55">
        <v>201.65</v>
      </c>
      <c r="Q90" s="48">
        <f t="shared" ref="Q90" si="262">P90/P89-1</f>
        <v>-2.3108225947098049E-2</v>
      </c>
    </row>
    <row r="91" spans="1:17" x14ac:dyDescent="0.3">
      <c r="A91" s="60">
        <v>45901</v>
      </c>
      <c r="B91" s="55">
        <v>24741</v>
      </c>
      <c r="C91" s="48">
        <f t="shared" si="193"/>
        <v>1.2860847796584585E-2</v>
      </c>
      <c r="D91" s="55">
        <v>853.05</v>
      </c>
      <c r="E91" s="48">
        <f t="shared" si="193"/>
        <v>5.5624303922781726E-2</v>
      </c>
      <c r="F91" s="48"/>
      <c r="G91" s="48"/>
      <c r="H91" s="55">
        <v>1264.3</v>
      </c>
      <c r="I91" s="48">
        <f t="shared" ref="I91" si="263">H91/H90-1</f>
        <v>1.2249799839871844E-2</v>
      </c>
      <c r="J91" s="48"/>
      <c r="K91" s="48"/>
      <c r="L91" s="55">
        <v>568.24523604000001</v>
      </c>
      <c r="M91" s="48">
        <f t="shared" ref="M91" si="264">L91/L90-1</f>
        <v>0.10800272929451316</v>
      </c>
      <c r="N91" s="48"/>
      <c r="O91" s="48"/>
      <c r="P91" s="55">
        <v>201.28</v>
      </c>
      <c r="Q91" s="48">
        <f t="shared" ref="Q91" si="265">P91/P90-1</f>
        <v>-1.8348623853211565E-3</v>
      </c>
    </row>
    <row r="92" spans="1:17" x14ac:dyDescent="0.3">
      <c r="A92" s="60">
        <v>45908</v>
      </c>
      <c r="B92" s="55">
        <v>25114</v>
      </c>
      <c r="C92" s="48">
        <f t="shared" si="193"/>
        <v>1.5076189321369338E-2</v>
      </c>
      <c r="D92" s="55">
        <v>876.8</v>
      </c>
      <c r="E92" s="48">
        <f t="shared" si="193"/>
        <v>2.7841275423480472E-2</v>
      </c>
      <c r="F92" s="48"/>
      <c r="G92" s="48"/>
      <c r="H92" s="55">
        <v>1293.8</v>
      </c>
      <c r="I92" s="48">
        <f t="shared" ref="I92" si="266">H92/H91-1</f>
        <v>2.3333069682828445E-2</v>
      </c>
      <c r="J92" s="48"/>
      <c r="K92" s="48"/>
      <c r="L92" s="55">
        <v>533.30167838</v>
      </c>
      <c r="M92" s="48">
        <f t="shared" ref="M92" si="267">L92/L91-1</f>
        <v>-6.1493797824888841E-2</v>
      </c>
      <c r="N92" s="48"/>
      <c r="O92" s="48"/>
      <c r="P92" s="55">
        <v>203.02</v>
      </c>
      <c r="Q92" s="48">
        <f t="shared" ref="Q92" si="268">P92/P91-1</f>
        <v>8.6446740858505677E-3</v>
      </c>
    </row>
    <row r="93" spans="1:17" x14ac:dyDescent="0.3">
      <c r="A93" s="60">
        <v>45915</v>
      </c>
      <c r="B93" s="55">
        <v>25327.05</v>
      </c>
      <c r="C93" s="48">
        <f t="shared" si="193"/>
        <v>8.4833160786812467E-3</v>
      </c>
      <c r="D93" s="55">
        <v>866.1</v>
      </c>
      <c r="E93" s="48">
        <f t="shared" si="193"/>
        <v>-1.2203467153284575E-2</v>
      </c>
      <c r="F93" s="48"/>
      <c r="G93" s="48"/>
      <c r="H93" s="55">
        <v>1269</v>
      </c>
      <c r="I93" s="48">
        <f t="shared" ref="I93" si="269">H93/H92-1</f>
        <v>-1.9168341320142224E-2</v>
      </c>
      <c r="J93" s="48"/>
      <c r="K93" s="48"/>
      <c r="L93" s="55">
        <v>535.29999999999995</v>
      </c>
      <c r="M93" s="48">
        <f t="shared" ref="M93" si="270">L93/L92-1</f>
        <v>3.7470754378088333E-3</v>
      </c>
      <c r="N93" s="48"/>
      <c r="O93" s="48"/>
      <c r="P93" s="55">
        <v>224.57</v>
      </c>
      <c r="Q93" s="48">
        <f t="shared" ref="Q93" si="271">P93/P92-1</f>
        <v>0.10614717761796855</v>
      </c>
    </row>
    <row r="94" spans="1:17" x14ac:dyDescent="0.3">
      <c r="A94" s="60">
        <v>45922</v>
      </c>
      <c r="B94" s="55">
        <v>24654.7</v>
      </c>
      <c r="C94" s="48">
        <f t="shared" si="193"/>
        <v>-2.6546715863079107E-2</v>
      </c>
      <c r="D94" s="55">
        <v>846.05</v>
      </c>
      <c r="E94" s="48">
        <f t="shared" si="193"/>
        <v>-2.3149751760766724E-2</v>
      </c>
      <c r="F94" s="48"/>
      <c r="G94" s="48"/>
      <c r="H94" s="55">
        <v>1241.3</v>
      </c>
      <c r="I94" s="48">
        <f t="shared" ref="I94" si="272">H94/H93-1</f>
        <v>-2.1828211189913405E-2</v>
      </c>
      <c r="J94" s="48"/>
      <c r="K94" s="48"/>
      <c r="L94" s="55">
        <v>511.35</v>
      </c>
      <c r="M94" s="48">
        <f t="shared" ref="M94" si="273">L94/L93-1</f>
        <v>-4.4741266579487959E-2</v>
      </c>
      <c r="N94" s="48"/>
      <c r="O94" s="48"/>
      <c r="P94" s="55">
        <v>202.54</v>
      </c>
      <c r="Q94" s="48">
        <f t="shared" ref="Q94" si="274">P94/P93-1</f>
        <v>-9.8098588413412346E-2</v>
      </c>
    </row>
    <row r="95" spans="1:17" x14ac:dyDescent="0.3">
      <c r="A95" s="60">
        <v>45929</v>
      </c>
      <c r="B95" s="55">
        <v>24894.25</v>
      </c>
      <c r="C95" s="48">
        <f t="shared" si="193"/>
        <v>9.7162001565624934E-3</v>
      </c>
      <c r="D95" s="55">
        <v>854.55</v>
      </c>
      <c r="E95" s="48">
        <f t="shared" si="193"/>
        <v>1.0046687548017186E-2</v>
      </c>
      <c r="F95" s="48"/>
      <c r="G95" s="48"/>
      <c r="H95" s="55">
        <v>1248.9000000000001</v>
      </c>
      <c r="I95" s="48">
        <f t="shared" ref="I95" si="275">H95/H94-1</f>
        <v>6.1226133891889578E-3</v>
      </c>
      <c r="J95" s="48"/>
      <c r="K95" s="48"/>
      <c r="L95" s="55">
        <v>524.25</v>
      </c>
      <c r="M95" s="48">
        <f t="shared" ref="M95" si="276">L95/L94-1</f>
        <v>2.5227339395717197E-2</v>
      </c>
      <c r="N95" s="48"/>
      <c r="O95" s="48"/>
      <c r="P95" s="55">
        <v>209.19</v>
      </c>
      <c r="Q95" s="48">
        <f t="shared" ref="Q95" si="277">P95/P94-1</f>
        <v>3.2833020637898613E-2</v>
      </c>
    </row>
    <row r="96" spans="1:17" x14ac:dyDescent="0.3">
      <c r="A96" s="60">
        <v>45936</v>
      </c>
      <c r="B96" s="55">
        <v>25285.35</v>
      </c>
      <c r="C96" s="48">
        <f t="shared" si="193"/>
        <v>1.5710455225604214E-2</v>
      </c>
      <c r="D96" s="55">
        <v>853.8</v>
      </c>
      <c r="E96" s="48">
        <f t="shared" si="193"/>
        <v>-8.7765490609093E-4</v>
      </c>
      <c r="F96" s="48"/>
      <c r="G96" s="48"/>
      <c r="H96" s="55">
        <v>1249.8</v>
      </c>
      <c r="I96" s="48">
        <f t="shared" ref="I96" si="278">H96/H95-1</f>
        <v>7.206341580590081E-4</v>
      </c>
      <c r="J96" s="48"/>
      <c r="K96" s="48"/>
      <c r="L96" s="55">
        <v>516.1</v>
      </c>
      <c r="M96" s="48">
        <f t="shared" ref="M96" si="279">L96/L95-1</f>
        <v>-1.5546018121125327E-2</v>
      </c>
      <c r="N96" s="48"/>
      <c r="O96" s="48"/>
      <c r="P96" s="55">
        <v>199.58</v>
      </c>
      <c r="Q96" s="48">
        <f t="shared" ref="Q96" si="280">P96/P95-1</f>
        <v>-4.5939098427266956E-2</v>
      </c>
    </row>
    <row r="97" spans="1:17" x14ac:dyDescent="0.3">
      <c r="A97" s="60">
        <v>45943</v>
      </c>
      <c r="B97" s="55">
        <v>25709.85</v>
      </c>
      <c r="C97" s="48">
        <f t="shared" si="193"/>
        <v>1.6788377459675319E-2</v>
      </c>
      <c r="D97" s="55">
        <v>845.5</v>
      </c>
      <c r="E97" s="48">
        <f t="shared" si="193"/>
        <v>-9.7212461934879091E-3</v>
      </c>
      <c r="F97" s="48"/>
      <c r="G97" s="48"/>
      <c r="H97" s="55">
        <v>1269.7</v>
      </c>
      <c r="I97" s="48">
        <f t="shared" ref="I97" si="281">H97/H96-1</f>
        <v>1.5922547607617243E-2</v>
      </c>
      <c r="J97" s="48"/>
      <c r="K97" s="48"/>
      <c r="L97" s="55">
        <v>505.45</v>
      </c>
      <c r="M97" s="48">
        <f t="shared" ref="M97" si="282">L97/L96-1</f>
        <v>-2.0635535748885991E-2</v>
      </c>
      <c r="N97" s="48"/>
      <c r="O97" s="48"/>
      <c r="P97" s="55">
        <v>190.38</v>
      </c>
      <c r="Q97" s="48">
        <f t="shared" ref="Q97" si="283">P97/P96-1</f>
        <v>-4.6096803286902577E-2</v>
      </c>
    </row>
    <row r="98" spans="1:17" x14ac:dyDescent="0.3">
      <c r="A98" s="60">
        <v>45950</v>
      </c>
      <c r="B98" s="55">
        <v>25795.15</v>
      </c>
      <c r="C98" s="48">
        <f t="shared" si="193"/>
        <v>3.3177945417808274E-3</v>
      </c>
      <c r="D98" s="55">
        <v>845.4</v>
      </c>
      <c r="E98" s="48">
        <f t="shared" si="193"/>
        <v>-1.1827321111768097E-4</v>
      </c>
      <c r="F98" s="48"/>
      <c r="G98" s="48"/>
      <c r="H98" s="55">
        <v>1250.8</v>
      </c>
      <c r="I98" s="48">
        <f t="shared" ref="I98" si="284">H98/H97-1</f>
        <v>-1.4885406001417745E-2</v>
      </c>
      <c r="J98" s="48"/>
      <c r="K98" s="48"/>
      <c r="L98" s="55">
        <v>521.79999999999995</v>
      </c>
      <c r="M98" s="48">
        <f t="shared" ref="M98" si="285">L98/L97-1</f>
        <v>3.2347413196161856E-2</v>
      </c>
      <c r="N98" s="48"/>
      <c r="O98" s="48"/>
      <c r="P98" s="55">
        <v>190.35</v>
      </c>
      <c r="Q98" s="48">
        <f t="shared" ref="Q98" si="286">P98/P97-1</f>
        <v>-1.5757957768669506E-4</v>
      </c>
    </row>
    <row r="99" spans="1:17" x14ac:dyDescent="0.3">
      <c r="A99" s="60">
        <v>45957</v>
      </c>
      <c r="B99" s="55">
        <v>25722.1</v>
      </c>
      <c r="C99" s="48">
        <f t="shared" si="193"/>
        <v>-2.8319277073404203E-3</v>
      </c>
      <c r="D99" s="55">
        <v>817.75</v>
      </c>
      <c r="E99" s="48">
        <f t="shared" si="193"/>
        <v>-3.2706411166311788E-2</v>
      </c>
      <c r="F99" s="48"/>
      <c r="G99" s="48"/>
      <c r="H99" s="55">
        <v>1256.4000000000001</v>
      </c>
      <c r="I99" s="48">
        <f t="shared" ref="I99" si="287">H99/H98-1</f>
        <v>4.4771346338343676E-3</v>
      </c>
      <c r="J99" s="48"/>
      <c r="K99" s="48"/>
      <c r="L99" s="55">
        <v>524.45000000000005</v>
      </c>
      <c r="M99" s="48">
        <f t="shared" ref="M99" si="288">L99/L98-1</f>
        <v>5.0785741663474937E-3</v>
      </c>
      <c r="N99" s="48"/>
      <c r="O99" s="48"/>
      <c r="P99" s="55">
        <v>191.39</v>
      </c>
      <c r="Q99" s="48">
        <f t="shared" ref="Q99" si="289">P99/P98-1</f>
        <v>5.463619648016671E-3</v>
      </c>
    </row>
    <row r="100" spans="1:17" x14ac:dyDescent="0.3">
      <c r="A100" s="60">
        <v>45964</v>
      </c>
      <c r="B100" s="55">
        <v>25492.3</v>
      </c>
      <c r="C100" s="48">
        <f t="shared" si="193"/>
        <v>-8.9339517379996014E-3</v>
      </c>
      <c r="D100" s="55">
        <v>759.35</v>
      </c>
      <c r="E100" s="48">
        <f t="shared" si="193"/>
        <v>-7.1415469275450949E-2</v>
      </c>
      <c r="F100" s="48"/>
      <c r="G100" s="48"/>
      <c r="H100" s="55">
        <v>1295.9000000000001</v>
      </c>
      <c r="I100" s="48">
        <f t="shared" ref="I100" si="290">H100/H99-1</f>
        <v>3.1439032155364588E-2</v>
      </c>
      <c r="J100" s="48"/>
      <c r="K100" s="48"/>
      <c r="L100" s="55">
        <v>509.65</v>
      </c>
      <c r="M100" s="48">
        <f t="shared" ref="M100" si="291">L100/L99-1</f>
        <v>-2.8220040041948891E-2</v>
      </c>
      <c r="N100" s="48"/>
      <c r="O100" s="48"/>
      <c r="P100" s="55">
        <v>187.54</v>
      </c>
      <c r="Q100" s="48">
        <f t="shared" ref="Q100" si="292">P100/P99-1</f>
        <v>-2.011599352108262E-2</v>
      </c>
    </row>
    <row r="101" spans="1:17" x14ac:dyDescent="0.3">
      <c r="A101" s="60">
        <v>45971</v>
      </c>
      <c r="B101" s="55">
        <v>25910.05</v>
      </c>
      <c r="C101" s="48">
        <f t="shared" si="193"/>
        <v>1.6387301263518728E-2</v>
      </c>
      <c r="D101" s="55">
        <v>791.55</v>
      </c>
      <c r="E101" s="48">
        <f t="shared" si="193"/>
        <v>4.240468822018828E-2</v>
      </c>
      <c r="F101" s="48"/>
      <c r="G101" s="48"/>
      <c r="H101" s="55">
        <v>1253.2</v>
      </c>
      <c r="I101" s="48">
        <f t="shared" ref="I101" si="293">H101/H100-1</f>
        <v>-3.2950073308125605E-2</v>
      </c>
      <c r="J101" s="48"/>
      <c r="K101" s="48"/>
      <c r="L101" s="55">
        <v>500.3</v>
      </c>
      <c r="M101" s="48">
        <f t="shared" ref="M101" si="294">L101/L100-1</f>
        <v>-1.8345923673108944E-2</v>
      </c>
      <c r="N101" s="48"/>
      <c r="O101" s="48"/>
      <c r="P101" s="55">
        <v>191.03</v>
      </c>
      <c r="Q101" s="48">
        <f t="shared" ref="Q101" si="295">P101/P100-1</f>
        <v>1.8609363335821749E-2</v>
      </c>
    </row>
    <row r="102" spans="1:17" x14ac:dyDescent="0.3">
      <c r="A102" s="60">
        <v>45978</v>
      </c>
      <c r="B102" s="55">
        <v>26068.15</v>
      </c>
      <c r="C102" s="48">
        <f t="shared" si="193"/>
        <v>6.1018793865701415E-3</v>
      </c>
      <c r="D102" s="55">
        <v>699.2</v>
      </c>
      <c r="E102" s="48">
        <f t="shared" si="193"/>
        <v>-0.11666982502684597</v>
      </c>
      <c r="F102" s="48"/>
      <c r="G102" s="48"/>
      <c r="H102" s="55">
        <v>1229.4000000000001</v>
      </c>
      <c r="I102" s="48">
        <f t="shared" ref="I102" si="296">H102/H101-1</f>
        <v>-1.8991382061921414E-2</v>
      </c>
      <c r="J102" s="48"/>
      <c r="K102" s="48"/>
      <c r="L102" s="55">
        <v>484.85</v>
      </c>
      <c r="M102" s="48">
        <f t="shared" ref="M102" si="297">L102/L101-1</f>
        <v>-3.0881471117329529E-2</v>
      </c>
      <c r="N102" s="48"/>
      <c r="O102" s="48"/>
      <c r="P102" s="55">
        <v>180.19</v>
      </c>
      <c r="Q102" s="48">
        <f t="shared" ref="Q102" si="298">P102/P101-1</f>
        <v>-5.6745013872166683E-2</v>
      </c>
    </row>
    <row r="103" spans="1:17" x14ac:dyDescent="0.3">
      <c r="A103" s="60">
        <v>45985</v>
      </c>
      <c r="B103" s="55">
        <v>26202.95</v>
      </c>
      <c r="C103" s="48">
        <f t="shared" si="193"/>
        <v>5.1710612375637233E-3</v>
      </c>
      <c r="D103" s="55">
        <v>685.75</v>
      </c>
      <c r="E103" s="48">
        <f t="shared" si="193"/>
        <v>-1.9236270022883306E-2</v>
      </c>
      <c r="F103" s="48"/>
      <c r="G103" s="48"/>
      <c r="H103" s="55">
        <v>1199.7</v>
      </c>
      <c r="I103" s="48">
        <f t="shared" ref="I103" si="299">H103/H102-1</f>
        <v>-2.4158125915080597E-2</v>
      </c>
      <c r="J103" s="48"/>
      <c r="K103" s="48"/>
      <c r="L103" s="55">
        <v>470.7</v>
      </c>
      <c r="M103" s="48">
        <f t="shared" ref="M103" si="300">L103/L102-1</f>
        <v>-2.9184283799113198E-2</v>
      </c>
      <c r="N103" s="48"/>
      <c r="O103" s="48"/>
      <c r="P103" s="55">
        <v>177.76</v>
      </c>
      <c r="Q103" s="48">
        <f t="shared" ref="Q103" si="301">P103/P102-1</f>
        <v>-1.3485765025806118E-2</v>
      </c>
    </row>
    <row r="104" spans="1:17" x14ac:dyDescent="0.3">
      <c r="A104" s="60">
        <v>45992</v>
      </c>
      <c r="B104" s="55">
        <v>26186.45</v>
      </c>
      <c r="C104" s="48">
        <f t="shared" si="193"/>
        <v>-6.297000910202577E-4</v>
      </c>
      <c r="D104" s="55">
        <v>703.9</v>
      </c>
      <c r="E104" s="48">
        <f t="shared" si="193"/>
        <v>2.6467371491068148E-2</v>
      </c>
      <c r="F104" s="48"/>
      <c r="G104" s="48"/>
      <c r="H104" s="55">
        <v>1165.4000000000001</v>
      </c>
      <c r="I104" s="48">
        <f t="shared" ref="I104" si="302">H104/H103-1</f>
        <v>-2.859048095357164E-2</v>
      </c>
      <c r="J104" s="48"/>
      <c r="K104" s="48"/>
      <c r="L104" s="55">
        <v>451.55</v>
      </c>
      <c r="M104" s="48">
        <f t="shared" ref="M104" si="303">L104/L103-1</f>
        <v>-4.068408752921171E-2</v>
      </c>
      <c r="N104" s="48"/>
      <c r="O104" s="48"/>
      <c r="P104" s="55">
        <v>172.44</v>
      </c>
      <c r="Q104" s="48">
        <f t="shared" ref="Q104" si="304">P104/P103-1</f>
        <v>-2.9927992799279934E-2</v>
      </c>
    </row>
    <row r="105" spans="1:17" x14ac:dyDescent="0.3">
      <c r="A105" s="60">
        <v>45999</v>
      </c>
      <c r="B105" s="55">
        <v>26046.95</v>
      </c>
      <c r="C105" s="48">
        <f t="shared" si="193"/>
        <v>-5.3271825696113995E-3</v>
      </c>
      <c r="D105" s="55">
        <v>690.95</v>
      </c>
      <c r="E105" s="48">
        <f t="shared" si="193"/>
        <v>-1.8397499644835835E-2</v>
      </c>
      <c r="F105" s="48"/>
      <c r="G105" s="48"/>
      <c r="H105" s="55">
        <v>1172.7</v>
      </c>
      <c r="I105" s="48">
        <f t="shared" ref="I105" si="305">H105/H104-1</f>
        <v>6.2639437103140239E-3</v>
      </c>
      <c r="J105" s="48"/>
      <c r="K105" s="48"/>
      <c r="L105" s="55">
        <v>437.8</v>
      </c>
      <c r="M105" s="48">
        <f t="shared" ref="M105" si="306">L105/L104-1</f>
        <v>-3.0450669914738104E-2</v>
      </c>
      <c r="N105" s="48"/>
      <c r="O105" s="48"/>
      <c r="P105" s="55">
        <v>166.61</v>
      </c>
      <c r="Q105" s="48">
        <f t="shared" ref="Q105" si="307">P105/P104-1</f>
        <v>-3.3808861053119865E-2</v>
      </c>
    </row>
    <row r="106" spans="1:17" x14ac:dyDescent="0.3">
      <c r="A106" s="60">
        <v>46006</v>
      </c>
      <c r="B106" s="55">
        <v>25966.400000000001</v>
      </c>
      <c r="C106" s="48">
        <f t="shared" si="193"/>
        <v>-3.0924925951022475E-3</v>
      </c>
      <c r="D106" s="55">
        <v>711</v>
      </c>
      <c r="E106" s="48">
        <f t="shared" si="193"/>
        <v>2.9018018669947132E-2</v>
      </c>
      <c r="F106" s="48"/>
      <c r="G106" s="48"/>
      <c r="H106" s="55">
        <v>1151.2</v>
      </c>
      <c r="I106" s="48">
        <f t="shared" ref="I106" si="308">H106/H105-1</f>
        <v>-1.833375969983797E-2</v>
      </c>
      <c r="J106" s="48"/>
      <c r="K106" s="48"/>
      <c r="L106" s="55">
        <v>423.05</v>
      </c>
      <c r="M106" s="48">
        <f t="shared" ref="M106" si="309">L106/L105-1</f>
        <v>-3.3691183188670593E-2</v>
      </c>
      <c r="N106" s="48"/>
      <c r="O106" s="48"/>
      <c r="P106" s="55">
        <v>168.08</v>
      </c>
      <c r="Q106" s="48">
        <f t="shared" ref="Q106" si="310">P106/P105-1</f>
        <v>8.8229998199387261E-3</v>
      </c>
    </row>
    <row r="107" spans="1:17" x14ac:dyDescent="0.3">
      <c r="A107" s="60">
        <v>46013</v>
      </c>
      <c r="B107" s="55">
        <v>26042.3</v>
      </c>
      <c r="C107" s="48">
        <f t="shared" si="193"/>
        <v>2.9230081952060782E-3</v>
      </c>
      <c r="D107" s="55">
        <v>732.05</v>
      </c>
      <c r="E107" s="48">
        <f t="shared" si="193"/>
        <v>2.9606188466947847E-2</v>
      </c>
      <c r="F107" s="48"/>
      <c r="G107" s="48"/>
      <c r="H107" s="55">
        <v>1196.0999999999999</v>
      </c>
      <c r="I107" s="48">
        <f t="shared" ref="I107" si="311">H107/H106-1</f>
        <v>3.9002779708130486E-2</v>
      </c>
      <c r="J107" s="48"/>
      <c r="K107" s="48"/>
      <c r="L107" s="55">
        <v>422.85</v>
      </c>
      <c r="M107" s="48">
        <f t="shared" ref="M107" si="312">L107/L106-1</f>
        <v>-4.7275735728635748E-4</v>
      </c>
      <c r="N107" s="48"/>
      <c r="O107" s="48"/>
      <c r="P107" s="55">
        <v>177.52</v>
      </c>
      <c r="Q107" s="48">
        <f t="shared" ref="Q107" si="313">P107/P106-1</f>
        <v>5.6163731556401641E-2</v>
      </c>
    </row>
    <row r="108" spans="1:17" x14ac:dyDescent="0.3">
      <c r="A108" s="60">
        <v>46020</v>
      </c>
      <c r="B108" s="55">
        <v>26328.55</v>
      </c>
      <c r="C108" s="48">
        <f t="shared" si="193"/>
        <v>1.0991732681061128E-2</v>
      </c>
      <c r="D108" s="55">
        <v>746.85</v>
      </c>
      <c r="E108" s="48">
        <f t="shared" si="193"/>
        <v>2.0217198278806192E-2</v>
      </c>
      <c r="F108" s="48"/>
      <c r="G108" s="48"/>
      <c r="H108" s="55">
        <v>1196.8</v>
      </c>
      <c r="I108" s="48">
        <f t="shared" ref="I108" si="314">H108/H107-1</f>
        <v>5.8523534821497414E-4</v>
      </c>
      <c r="J108" s="48"/>
      <c r="K108" s="48"/>
      <c r="L108" s="55">
        <v>452.85</v>
      </c>
      <c r="M108" s="48">
        <f t="shared" ref="M108" si="315">L108/L107-1</f>
        <v>7.0947144377438764E-2</v>
      </c>
      <c r="N108" s="48"/>
      <c r="O108" s="48"/>
      <c r="P108" s="55">
        <v>174.51</v>
      </c>
      <c r="Q108" s="48">
        <f t="shared" ref="Q108" si="316">P108/P107-1</f>
        <v>-1.6955835962145227E-2</v>
      </c>
    </row>
    <row r="109" spans="1:17" x14ac:dyDescent="0.3">
      <c r="A109" s="60">
        <v>46027</v>
      </c>
      <c r="B109" s="55">
        <v>25683.3</v>
      </c>
      <c r="C109" s="48">
        <f t="shared" si="193"/>
        <v>-2.4507616256877029E-2</v>
      </c>
      <c r="D109" s="55">
        <v>689.95</v>
      </c>
      <c r="E109" s="48">
        <f t="shared" si="193"/>
        <v>-7.618665059918317E-2</v>
      </c>
      <c r="F109" s="48"/>
      <c r="G109" s="48"/>
      <c r="H109" s="55">
        <v>1115.5999999999999</v>
      </c>
      <c r="I109" s="48">
        <f t="shared" ref="I109" si="317">H109/H108-1</f>
        <v>-6.7847593582887722E-2</v>
      </c>
      <c r="J109" s="48"/>
      <c r="K109" s="48"/>
      <c r="L109" s="55">
        <v>408.75</v>
      </c>
      <c r="M109" s="48">
        <f t="shared" ref="M109" si="318">L109/L108-1</f>
        <v>-9.7383239483272654E-2</v>
      </c>
      <c r="N109" s="48"/>
      <c r="O109" s="48"/>
      <c r="P109" s="55">
        <v>169.6</v>
      </c>
      <c r="Q109" s="48">
        <f t="shared" ref="Q109" si="319">P109/P108-1</f>
        <v>-2.8135923442782595E-2</v>
      </c>
    </row>
    <row r="110" spans="1:17" x14ac:dyDescent="0.3">
      <c r="A110" s="60">
        <v>46034</v>
      </c>
      <c r="B110" s="55">
        <v>25694.35</v>
      </c>
      <c r="C110" s="48">
        <f t="shared" si="193"/>
        <v>4.3024066222008273E-4</v>
      </c>
      <c r="D110" s="55">
        <v>681.35</v>
      </c>
      <c r="E110" s="48">
        <f t="shared" si="193"/>
        <v>-1.246467135299667E-2</v>
      </c>
      <c r="F110" s="48"/>
      <c r="G110" s="48"/>
      <c r="H110" s="55">
        <v>1149.0999999999999</v>
      </c>
      <c r="I110" s="48">
        <f t="shared" ref="I110" si="320">H110/H109-1</f>
        <v>3.0028684116170767E-2</v>
      </c>
      <c r="J110" s="48"/>
      <c r="K110" s="48"/>
      <c r="L110" s="55">
        <v>381.4</v>
      </c>
      <c r="M110" s="48">
        <f t="shared" ref="M110" si="321">L110/L109-1</f>
        <v>-6.6911314984709591E-2</v>
      </c>
      <c r="N110" s="48"/>
      <c r="O110" s="48"/>
      <c r="P110" s="55">
        <v>164.36</v>
      </c>
      <c r="Q110" s="48">
        <f t="shared" ref="Q110" si="322">P110/P109-1</f>
        <v>-3.0896226415094263E-2</v>
      </c>
    </row>
    <row r="111" spans="1:17" x14ac:dyDescent="0.3">
      <c r="A111" s="60">
        <v>46041</v>
      </c>
      <c r="B111" s="55">
        <v>25048.65</v>
      </c>
      <c r="C111" s="48">
        <f t="shared" si="193"/>
        <v>-2.5130038315816394E-2</v>
      </c>
      <c r="D111" s="55">
        <v>634.95000000000005</v>
      </c>
      <c r="E111" s="48">
        <f t="shared" si="193"/>
        <v>-6.8100095398840543E-2</v>
      </c>
      <c r="F111" s="48"/>
      <c r="G111" s="48"/>
      <c r="H111" s="55">
        <v>1107.8</v>
      </c>
      <c r="I111" s="48">
        <f t="shared" ref="I111" si="323">H111/H110-1</f>
        <v>-3.594117135149244E-2</v>
      </c>
      <c r="J111" s="48"/>
      <c r="K111" s="48"/>
      <c r="L111" s="55">
        <v>336.9</v>
      </c>
      <c r="M111" s="48">
        <f t="shared" ref="M111" si="324">L111/L110-1</f>
        <v>-0.11667540639748297</v>
      </c>
      <c r="N111" s="48"/>
      <c r="O111" s="48"/>
      <c r="P111" s="55">
        <v>147.96</v>
      </c>
      <c r="Q111" s="48">
        <f t="shared" ref="Q111" si="325">P111/P110-1</f>
        <v>-9.978096860550012E-2</v>
      </c>
    </row>
    <row r="112" spans="1:17" x14ac:dyDescent="0.3">
      <c r="A112" s="60">
        <v>46049</v>
      </c>
      <c r="B112" s="55">
        <v>24825.45</v>
      </c>
      <c r="C112" s="48">
        <f t="shared" si="193"/>
        <v>-8.9106598559204331E-3</v>
      </c>
      <c r="D112" s="55">
        <v>640.54999999999995</v>
      </c>
      <c r="E112" s="48">
        <f t="shared" si="193"/>
        <v>8.8195920938656247E-3</v>
      </c>
      <c r="F112" s="48"/>
      <c r="G112" s="48"/>
      <c r="H112" s="55">
        <v>1165.3</v>
      </c>
      <c r="I112" s="48">
        <f t="shared" ref="I112" si="326">H112/H111-1</f>
        <v>5.1904675934284272E-2</v>
      </c>
      <c r="J112" s="48"/>
      <c r="K112" s="48"/>
      <c r="L112" s="55">
        <v>361.75</v>
      </c>
      <c r="M112" s="48">
        <f t="shared" ref="M112" si="327">L112/L111-1</f>
        <v>7.3760759869397452E-2</v>
      </c>
      <c r="N112" s="48"/>
      <c r="O112" s="48"/>
      <c r="P112" s="55">
        <v>156.34</v>
      </c>
      <c r="Q112" s="48">
        <f t="shared" ref="Q112" si="328">P112/P111-1</f>
        <v>5.6636928899702621E-2</v>
      </c>
    </row>
    <row r="113" spans="1:17" x14ac:dyDescent="0.3">
      <c r="A113" s="60">
        <v>46055</v>
      </c>
      <c r="B113" s="55">
        <v>25693.7</v>
      </c>
      <c r="C113" s="48">
        <f t="shared" si="193"/>
        <v>3.4974189793135713E-2</v>
      </c>
      <c r="D113" s="55">
        <v>615.5</v>
      </c>
      <c r="E113" s="48">
        <f t="shared" si="193"/>
        <v>-3.9107017406915912E-2</v>
      </c>
      <c r="F113" s="48"/>
      <c r="G113" s="48"/>
      <c r="H113" s="55">
        <v>1091.3</v>
      </c>
      <c r="I113" s="48">
        <f t="shared" ref="I113" si="329">H113/H112-1</f>
        <v>-6.3502960611001469E-2</v>
      </c>
      <c r="J113" s="48"/>
      <c r="K113" s="48"/>
      <c r="L113" s="55">
        <v>386.7</v>
      </c>
      <c r="M113" s="48">
        <f t="shared" ref="M113" si="330">L113/L112-1</f>
        <v>6.8970283344851335E-2</v>
      </c>
      <c r="N113" s="48"/>
      <c r="O113" s="48"/>
      <c r="P113" s="55">
        <v>162.47</v>
      </c>
      <c r="Q113" s="48">
        <f t="shared" ref="Q113" si="331">P113/P112-1</f>
        <v>3.9209415376743051E-2</v>
      </c>
    </row>
    <row r="114" spans="1:17" x14ac:dyDescent="0.3">
      <c r="A114" s="60">
        <v>46062</v>
      </c>
      <c r="B114" s="55">
        <v>25471.1</v>
      </c>
      <c r="C114" s="48">
        <f t="shared" si="193"/>
        <v>-8.6636023616685209E-3</v>
      </c>
      <c r="D114" s="55">
        <v>601.95000000000005</v>
      </c>
      <c r="E114" s="48">
        <f t="shared" si="193"/>
        <v>-2.2014622258326511E-2</v>
      </c>
      <c r="F114" s="48"/>
      <c r="G114" s="48"/>
      <c r="H114" s="55">
        <v>1096.9000000000001</v>
      </c>
      <c r="I114" s="48">
        <f t="shared" ref="I114" si="332">H114/H113-1</f>
        <v>5.1314945477871632E-3</v>
      </c>
      <c r="J114" s="48"/>
      <c r="K114" s="48"/>
      <c r="L114" s="55">
        <v>373.8</v>
      </c>
      <c r="M114" s="48">
        <f t="shared" ref="M114" si="333">L114/L113-1</f>
        <v>-3.3359193173002288E-2</v>
      </c>
      <c r="N114" s="48"/>
      <c r="O114" s="48"/>
      <c r="P114" s="55">
        <v>161.27000000000001</v>
      </c>
      <c r="Q114" s="48">
        <f t="shared" ref="Q114" si="334">P114/P113-1</f>
        <v>-7.3859789499599593E-3</v>
      </c>
    </row>
    <row r="115" spans="1:17" x14ac:dyDescent="0.3">
      <c r="A115" s="60">
        <v>46069</v>
      </c>
      <c r="B115" s="55">
        <v>25571.25</v>
      </c>
      <c r="C115" s="48">
        <f t="shared" si="193"/>
        <v>3.9319071418195684E-3</v>
      </c>
      <c r="D115" s="55">
        <v>584.29999999999995</v>
      </c>
      <c r="E115" s="48">
        <f t="shared" si="193"/>
        <v>-2.9321372206994045E-2</v>
      </c>
      <c r="F115" s="48"/>
      <c r="G115" s="48"/>
      <c r="H115" s="55">
        <v>1135.5999999999999</v>
      </c>
      <c r="I115" s="48">
        <f t="shared" ref="I115" si="335">H115/H114-1</f>
        <v>3.5281247151061956E-2</v>
      </c>
      <c r="J115" s="48"/>
      <c r="K115" s="48"/>
      <c r="L115" s="55">
        <v>380.6</v>
      </c>
      <c r="M115" s="48">
        <f t="shared" ref="M115" si="336">L115/L114-1</f>
        <v>1.8191546281433935E-2</v>
      </c>
      <c r="N115" s="48"/>
      <c r="O115" s="48"/>
      <c r="P115" s="55">
        <v>163.30000000000001</v>
      </c>
      <c r="Q115" s="48">
        <f t="shared" ref="Q115" si="337">P115/P114-1</f>
        <v>1.2587586035840426E-2</v>
      </c>
    </row>
    <row r="116" spans="1:17" x14ac:dyDescent="0.3">
      <c r="A116" s="60">
        <v>46076</v>
      </c>
      <c r="B116" s="55">
        <v>25178.65</v>
      </c>
      <c r="C116" s="48">
        <f t="shared" si="193"/>
        <v>-1.5353179840641329E-2</v>
      </c>
      <c r="D116" s="55">
        <v>585.29999999999995</v>
      </c>
      <c r="E116" s="48">
        <f t="shared" si="193"/>
        <v>1.7114495978094446E-3</v>
      </c>
      <c r="F116" s="48"/>
      <c r="G116" s="48"/>
      <c r="H116" s="55">
        <v>1240.0999999999999</v>
      </c>
      <c r="I116" s="48">
        <f t="shared" ref="I116" si="338">H116/H115-1</f>
        <v>9.2021838675589995E-2</v>
      </c>
      <c r="J116" s="48"/>
      <c r="K116" s="48"/>
      <c r="L116" s="55">
        <v>366.35</v>
      </c>
      <c r="M116" s="48">
        <f t="shared" ref="M116" si="339">L116/L115-1</f>
        <v>-3.7440882816605403E-2</v>
      </c>
      <c r="N116" s="48"/>
      <c r="O116" s="48"/>
      <c r="P116" s="55">
        <v>161.53</v>
      </c>
      <c r="Q116" s="48">
        <f t="shared" ref="Q116" si="340">P116/P115-1</f>
        <v>-1.0838946723821241E-2</v>
      </c>
    </row>
    <row r="117" spans="1:17" x14ac:dyDescent="0.3">
      <c r="A117" s="60">
        <v>46083</v>
      </c>
      <c r="B117" s="55">
        <v>24450.45</v>
      </c>
      <c r="C117" s="48">
        <f t="shared" si="193"/>
        <v>-2.892132818876314E-2</v>
      </c>
      <c r="D117" s="55">
        <v>546.54999999999995</v>
      </c>
      <c r="E117" s="48">
        <f t="shared" si="193"/>
        <v>-6.6205364770203334E-2</v>
      </c>
      <c r="F117" s="48"/>
      <c r="G117" s="48"/>
      <c r="H117" s="55">
        <v>1133.9000000000001</v>
      </c>
      <c r="I117" s="48">
        <f t="shared" ref="I117" si="341">H117/H116-1</f>
        <v>-8.5638254979437001E-2</v>
      </c>
      <c r="J117" s="48"/>
      <c r="K117" s="48"/>
      <c r="L117" s="55">
        <v>346.1</v>
      </c>
      <c r="M117" s="48">
        <f t="shared" ref="M117" si="342">L117/L116-1</f>
        <v>-5.5275010236113031E-2</v>
      </c>
      <c r="N117" s="48"/>
      <c r="O117" s="48"/>
      <c r="P117" s="55">
        <v>146.29</v>
      </c>
      <c r="Q117" s="48">
        <f t="shared" ref="Q117" si="343">P117/P116-1</f>
        <v>-9.4347799170432789E-2</v>
      </c>
    </row>
    <row r="118" spans="1:17" x14ac:dyDescent="0.3">
      <c r="A118" s="60">
        <v>46090</v>
      </c>
      <c r="B118" s="55">
        <v>23151.1</v>
      </c>
      <c r="C118" s="48">
        <f t="shared" si="193"/>
        <v>-5.3142171207482991E-2</v>
      </c>
      <c r="D118" s="55">
        <v>549.04999999999995</v>
      </c>
      <c r="E118" s="48">
        <f t="shared" si="193"/>
        <v>4.574146921599187E-3</v>
      </c>
      <c r="F118" s="48"/>
      <c r="G118" s="48"/>
      <c r="H118" s="55">
        <v>1102</v>
      </c>
      <c r="I118" s="48">
        <f t="shared" ref="I118" si="344">H118/H117-1</f>
        <v>-2.8132992327365769E-2</v>
      </c>
      <c r="J118" s="48"/>
      <c r="K118" s="48"/>
      <c r="L118" s="55">
        <v>346.6</v>
      </c>
      <c r="M118" s="48">
        <f t="shared" ref="M118" si="345">L118/L117-1</f>
        <v>1.4446691707599157E-3</v>
      </c>
      <c r="N118" s="48"/>
      <c r="O118" s="48"/>
      <c r="P118" s="55">
        <v>139.96</v>
      </c>
      <c r="Q118" s="48">
        <f t="shared" ref="Q118" si="346">P118/P117-1</f>
        <v>-4.3270216692870234E-2</v>
      </c>
    </row>
    <row r="119" spans="1:17" x14ac:dyDescent="0.3">
      <c r="A119" s="60">
        <v>46097</v>
      </c>
      <c r="B119" s="55">
        <v>23114.5</v>
      </c>
      <c r="C119" s="48">
        <f t="shared" si="193"/>
        <v>-1.5809184012853805E-3</v>
      </c>
      <c r="D119" s="55">
        <v>546.1</v>
      </c>
      <c r="E119" s="48">
        <f t="shared" si="193"/>
        <v>-5.3729168563881879E-3</v>
      </c>
      <c r="F119" s="48"/>
      <c r="G119" s="48"/>
      <c r="H119" s="55">
        <v>1071</v>
      </c>
      <c r="I119" s="48">
        <f t="shared" ref="I119" si="347">H119/H118-1</f>
        <v>-2.8130671506352067E-2</v>
      </c>
      <c r="J119" s="48"/>
      <c r="K119" s="48"/>
      <c r="L119" s="55">
        <v>350.15</v>
      </c>
      <c r="M119" s="48">
        <f t="shared" ref="M119" si="348">L119/L118-1</f>
        <v>1.0242354298903411E-2</v>
      </c>
      <c r="N119" s="48"/>
      <c r="O119" s="48"/>
      <c r="P119" s="55">
        <v>163</v>
      </c>
      <c r="Q119" s="48">
        <f t="shared" ref="Q119" si="349">P119/P118-1</f>
        <v>0.16461846241783351</v>
      </c>
    </row>
    <row r="120" spans="1:17" x14ac:dyDescent="0.3">
      <c r="A120" s="60">
        <v>46104</v>
      </c>
      <c r="B120" s="55">
        <v>22819.599999999999</v>
      </c>
      <c r="C120" s="48">
        <f t="shared" si="193"/>
        <v>-1.275822535637805E-2</v>
      </c>
      <c r="D120" s="55">
        <v>533.70000000000005</v>
      </c>
      <c r="E120" s="48">
        <f t="shared" si="193"/>
        <v>-2.2706464017579142E-2</v>
      </c>
      <c r="F120" s="48"/>
      <c r="G120" s="48"/>
      <c r="H120" s="55">
        <v>1073.7</v>
      </c>
      <c r="I120" s="48">
        <f t="shared" ref="I120" si="350">H120/H119-1</f>
        <v>2.5210084033613356E-3</v>
      </c>
      <c r="J120" s="48"/>
      <c r="K120" s="48"/>
      <c r="L120" s="55">
        <v>347.4</v>
      </c>
      <c r="M120" s="48">
        <f t="shared" ref="M120" si="351">L120/L119-1</f>
        <v>-7.8537769527345924E-3</v>
      </c>
      <c r="N120" s="48"/>
      <c r="O120" s="48"/>
      <c r="P120" s="55">
        <v>144.41999999999999</v>
      </c>
      <c r="Q120" s="48">
        <f t="shared" ref="Q120" si="352">P120/P119-1</f>
        <v>-0.11398773006134977</v>
      </c>
    </row>
    <row r="121" spans="1:17" x14ac:dyDescent="0.3">
      <c r="A121" s="60">
        <v>46111</v>
      </c>
      <c r="B121" s="55">
        <v>22713.1</v>
      </c>
      <c r="C121" s="48">
        <f t="shared" si="193"/>
        <v>-4.6670406142088616E-3</v>
      </c>
      <c r="D121" s="55">
        <v>529.5</v>
      </c>
      <c r="E121" s="48">
        <f t="shared" si="193"/>
        <v>-7.8695896571108204E-3</v>
      </c>
      <c r="F121" s="48"/>
      <c r="G121" s="48"/>
      <c r="H121" s="55">
        <v>1106.0999999999999</v>
      </c>
      <c r="I121" s="48">
        <f t="shared" ref="I121" si="353">H121/H120-1</f>
        <v>3.0176026823134805E-2</v>
      </c>
      <c r="J121" s="48"/>
      <c r="K121" s="48"/>
      <c r="L121" s="55">
        <v>351.5</v>
      </c>
      <c r="M121" s="48">
        <f t="shared" ref="M121" si="354">L121/L120-1</f>
        <v>1.1801957397812313E-2</v>
      </c>
      <c r="N121" s="48"/>
      <c r="O121" s="48"/>
      <c r="P121" s="55">
        <v>152.31</v>
      </c>
      <c r="Q121" s="48">
        <f t="shared" ref="Q121" si="355">P121/P120-1</f>
        <v>5.4632322393020516E-2</v>
      </c>
    </row>
    <row r="122" spans="1:17" x14ac:dyDescent="0.3">
      <c r="A122" s="60">
        <v>46118</v>
      </c>
      <c r="B122" s="55">
        <v>24050.6</v>
      </c>
      <c r="C122" s="48">
        <f t="shared" si="193"/>
        <v>5.8886721759689342E-2</v>
      </c>
      <c r="D122" s="55">
        <v>573.65</v>
      </c>
      <c r="E122" s="48">
        <f t="shared" si="193"/>
        <v>8.3380547686496609E-2</v>
      </c>
      <c r="F122" s="48"/>
      <c r="G122" s="48"/>
      <c r="H122" s="55">
        <v>1183.3</v>
      </c>
      <c r="I122" s="48">
        <f t="shared" ref="I122" si="356">H122/H121-1</f>
        <v>6.9794774432691442E-2</v>
      </c>
      <c r="J122" s="48"/>
      <c r="K122" s="48"/>
      <c r="L122" s="55">
        <v>384.3</v>
      </c>
      <c r="M122" s="48">
        <f t="shared" ref="M122" si="357">L122/L121-1</f>
        <v>9.3314366998577647E-2</v>
      </c>
      <c r="N122" s="48"/>
      <c r="O122" s="48"/>
      <c r="P122" s="55">
        <v>168.88</v>
      </c>
      <c r="Q122" s="48">
        <f t="shared" ref="Q122" si="358">P122/P121-1</f>
        <v>0.10879128094018764</v>
      </c>
    </row>
    <row r="123" spans="1:17" x14ac:dyDescent="0.3">
      <c r="A123" s="60">
        <v>46125</v>
      </c>
      <c r="B123" s="55">
        <v>24353.55</v>
      </c>
      <c r="C123" s="48">
        <f t="shared" si="193"/>
        <v>1.2596359342386565E-2</v>
      </c>
      <c r="D123" s="55">
        <v>580.04999999999995</v>
      </c>
      <c r="E123" s="48">
        <f t="shared" si="193"/>
        <v>1.1156628606292962E-2</v>
      </c>
      <c r="F123" s="48"/>
      <c r="G123" s="48"/>
      <c r="H123" s="55">
        <v>1231.7</v>
      </c>
      <c r="I123" s="48">
        <f t="shared" ref="I123" si="359">H123/H122-1</f>
        <v>4.0902560635510898E-2</v>
      </c>
      <c r="J123" s="48"/>
      <c r="K123" s="48"/>
      <c r="L123" s="55">
        <v>433.35</v>
      </c>
      <c r="M123" s="48">
        <f t="shared" ref="M123" si="360">L123/L122-1</f>
        <v>0.1276346604215457</v>
      </c>
      <c r="N123" s="48"/>
      <c r="O123" s="48"/>
      <c r="P123" s="55">
        <v>179.23</v>
      </c>
      <c r="Q123" s="48">
        <f t="shared" ref="Q123" si="361">P123/P122-1</f>
        <v>6.1286120322122217E-2</v>
      </c>
    </row>
    <row r="124" spans="1:17" x14ac:dyDescent="0.3">
      <c r="A124" s="60">
        <v>46132</v>
      </c>
      <c r="B124" s="55">
        <v>23897.95</v>
      </c>
      <c r="C124" s="48">
        <f t="shared" si="193"/>
        <v>-1.8707744866764742E-2</v>
      </c>
      <c r="D124" s="55">
        <v>575.15</v>
      </c>
      <c r="E124" s="48">
        <f t="shared" si="193"/>
        <v>-8.447547625204721E-3</v>
      </c>
      <c r="F124" s="48"/>
      <c r="G124" s="48"/>
      <c r="H124" s="55">
        <v>1240.8</v>
      </c>
      <c r="I124" s="48">
        <f t="shared" ref="I124" si="362">H124/H123-1</f>
        <v>7.3881627019565244E-3</v>
      </c>
      <c r="J124" s="48"/>
      <c r="K124" s="48"/>
      <c r="L124" s="55">
        <v>454.15</v>
      </c>
      <c r="M124" s="48">
        <f t="shared" ref="M124" si="363">L124/L123-1</f>
        <v>4.7998153917157005E-2</v>
      </c>
      <c r="N124" s="48"/>
      <c r="O124" s="48"/>
      <c r="P124" s="55">
        <v>181.56</v>
      </c>
      <c r="Q124" s="48">
        <f t="shared" ref="Q124" si="364">P124/P123-1</f>
        <v>1.3000055794230914E-2</v>
      </c>
    </row>
    <row r="125" spans="1:17" x14ac:dyDescent="0.3">
      <c r="A125" s="60">
        <v>46139</v>
      </c>
      <c r="B125" s="55">
        <v>23997.55</v>
      </c>
      <c r="C125" s="48">
        <f t="shared" si="193"/>
        <v>4.167721499124255E-3</v>
      </c>
      <c r="D125" s="55">
        <v>560.70000000000005</v>
      </c>
      <c r="E125" s="48">
        <f t="shared" si="193"/>
        <v>-2.5123880726766856E-2</v>
      </c>
      <c r="F125" s="48"/>
      <c r="G125" s="48"/>
      <c r="H125" s="55">
        <v>1250.3</v>
      </c>
      <c r="I125" s="48">
        <f t="shared" ref="I125" si="365">H125/H124-1</f>
        <v>7.6563507414570964E-3</v>
      </c>
      <c r="J125" s="48"/>
      <c r="K125" s="48"/>
      <c r="L125" s="55">
        <v>478.45</v>
      </c>
      <c r="M125" s="48">
        <f t="shared" ref="M125" si="366">L125/L124-1</f>
        <v>5.3506550699108146E-2</v>
      </c>
      <c r="N125" s="48"/>
      <c r="O125" s="48"/>
      <c r="P125" s="55">
        <v>188.32</v>
      </c>
      <c r="Q125" s="48">
        <f t="shared" ref="Q125" si="367">P125/P124-1</f>
        <v>3.7232870676360275E-2</v>
      </c>
    </row>
    <row r="126" spans="1:17" x14ac:dyDescent="0.3">
      <c r="A126" s="60">
        <v>46146</v>
      </c>
      <c r="B126" s="55">
        <v>24176.15</v>
      </c>
      <c r="C126" s="48">
        <f t="shared" si="193"/>
        <v>7.4424264143633234E-3</v>
      </c>
      <c r="D126" s="55">
        <v>598.04999999999995</v>
      </c>
      <c r="E126" s="48">
        <f t="shared" si="193"/>
        <v>6.6613162118779989E-2</v>
      </c>
      <c r="F126" s="48"/>
      <c r="G126" s="48"/>
      <c r="H126" s="55">
        <v>1275.7</v>
      </c>
      <c r="I126" s="48">
        <f t="shared" ref="I126" si="368">H126/H125-1</f>
        <v>2.031512437015115E-2</v>
      </c>
      <c r="J126" s="48"/>
      <c r="K126" s="48"/>
      <c r="L126" s="55">
        <v>466.2</v>
      </c>
      <c r="M126" s="48">
        <f t="shared" ref="M126" si="369">L126/L125-1</f>
        <v>-2.5603511338697871E-2</v>
      </c>
      <c r="N126" s="48"/>
      <c r="O126" s="48"/>
      <c r="P126" s="55">
        <v>181.24</v>
      </c>
      <c r="Q126" s="48">
        <f t="shared" ref="Q126" si="370">P126/P125-1</f>
        <v>-3.7595581988105309E-2</v>
      </c>
    </row>
    <row r="127" spans="1:17" x14ac:dyDescent="0.3">
      <c r="A127" s="60">
        <v>46153</v>
      </c>
      <c r="B127" s="55">
        <v>23689.599999999999</v>
      </c>
      <c r="C127" s="48">
        <f t="shared" si="193"/>
        <v>-2.0125206039836918E-2</v>
      </c>
      <c r="D127" s="55">
        <v>555.85</v>
      </c>
      <c r="E127" s="48">
        <f t="shared" si="193"/>
        <v>-7.0562661984783781E-2</v>
      </c>
      <c r="F127" s="48"/>
      <c r="G127" s="48"/>
      <c r="H127" s="55">
        <v>1226.5999999999999</v>
      </c>
      <c r="I127" s="48">
        <f t="shared" ref="I127" si="371">H127/H126-1</f>
        <v>-3.8488672885474751E-2</v>
      </c>
      <c r="J127" s="48"/>
      <c r="K127" s="48"/>
      <c r="L127" s="55">
        <v>457.85</v>
      </c>
      <c r="M127" s="48">
        <f t="shared" ref="M127" si="372">L127/L126-1</f>
        <v>-1.7910767910767844E-2</v>
      </c>
      <c r="N127" s="48"/>
      <c r="O127" s="48"/>
      <c r="P127" s="55">
        <v>182.4</v>
      </c>
      <c r="Q127" s="48">
        <f t="shared" ref="Q127" si="373">P127/P126-1</f>
        <v>6.4003531229308575E-3</v>
      </c>
    </row>
  </sheetData>
  <mergeCells count="2">
    <mergeCell ref="U3:X3"/>
    <mergeCell ref="U4:X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DCF &amp; Valuation</vt:lpstr>
      <vt:lpstr>Assumptions</vt:lpstr>
      <vt:lpstr>Beta calculation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Jimit Shah</cp:lastModifiedBy>
  <cp:revision>0</cp:revision>
  <dcterms:created xsi:type="dcterms:W3CDTF">2026-04-29T08:17:17Z</dcterms:created>
  <dcterms:modified xsi:type="dcterms:W3CDTF">2026-05-14T16:55:51Z</dcterms:modified>
  <dc:language>en-US</dc:language>
</cp:coreProperties>
</file>