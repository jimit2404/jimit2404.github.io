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imit\Desktop\Avalon Research\Company\Rajesh Power\"/>
    </mc:Choice>
  </mc:AlternateContent>
  <xr:revisionPtr revIDLastSave="0" documentId="13_ncr:1_{41F86892-1E5D-48AF-B493-82CC2E65625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MP Input" sheetId="1" r:id="rId1"/>
    <sheet name="Financials" sheetId="2" r:id="rId2"/>
    <sheet name="Assumptions" sheetId="3" r:id="rId3"/>
    <sheet name="DCF &amp; Valuation" sheetId="4" r:id="rId4"/>
    <sheet name="Comparable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6" i="5" l="1"/>
  <c r="J9" i="5"/>
  <c r="G9" i="5"/>
  <c r="E9" i="5"/>
  <c r="D9" i="5"/>
  <c r="C9" i="5"/>
  <c r="B9" i="5"/>
  <c r="G32" i="5"/>
  <c r="G24" i="5"/>
  <c r="G16" i="5"/>
  <c r="G29" i="5"/>
  <c r="K7" i="5"/>
  <c r="J7" i="5"/>
  <c r="I7" i="5"/>
  <c r="H7" i="5"/>
  <c r="F7" i="5"/>
  <c r="K6" i="5"/>
  <c r="K9" i="5" s="1"/>
  <c r="K5" i="5"/>
  <c r="K4" i="5"/>
  <c r="K3" i="5"/>
  <c r="J5" i="5"/>
  <c r="J4" i="5"/>
  <c r="J3" i="5"/>
  <c r="I6" i="5"/>
  <c r="I9" i="5" s="1"/>
  <c r="I5" i="5"/>
  <c r="I4" i="5"/>
  <c r="I3" i="5"/>
  <c r="F6" i="5"/>
  <c r="F9" i="5" s="1"/>
  <c r="F5" i="5"/>
  <c r="F4" i="5"/>
  <c r="F3" i="5"/>
  <c r="H6" i="5"/>
  <c r="H9" i="5" s="1"/>
  <c r="H5" i="5"/>
  <c r="H4" i="5"/>
  <c r="H3" i="5"/>
  <c r="B6" i="1"/>
  <c r="B59" i="4"/>
  <c r="B58" i="4"/>
  <c r="B57" i="4"/>
  <c r="F49" i="4"/>
  <c r="D49" i="4"/>
  <c r="B49" i="4"/>
  <c r="B27" i="3"/>
  <c r="B37" i="4"/>
  <c r="F45" i="4"/>
  <c r="D45" i="4"/>
  <c r="B45" i="4"/>
  <c r="B38" i="4"/>
  <c r="F37" i="4"/>
  <c r="F36" i="4"/>
  <c r="E38" i="4"/>
  <c r="B34" i="4"/>
  <c r="B14" i="3"/>
  <c r="E17" i="4"/>
  <c r="D17" i="4"/>
  <c r="C17" i="4"/>
  <c r="E15" i="4"/>
  <c r="D15" i="4"/>
  <c r="C15" i="4"/>
  <c r="E13" i="4"/>
  <c r="D13" i="4"/>
  <c r="C13" i="4"/>
  <c r="E16" i="4"/>
  <c r="D16" i="4"/>
  <c r="C16" i="4"/>
  <c r="E14" i="4"/>
  <c r="D14" i="4"/>
  <c r="C14" i="4"/>
  <c r="E12" i="4"/>
  <c r="D12" i="4"/>
  <c r="C12" i="4"/>
  <c r="E9" i="4"/>
  <c r="D9" i="4"/>
  <c r="C9" i="4"/>
  <c r="E8" i="4"/>
  <c r="D8" i="4"/>
  <c r="C8" i="4"/>
  <c r="E7" i="4"/>
  <c r="D7" i="4"/>
  <c r="C7" i="4"/>
  <c r="E6" i="4"/>
  <c r="D6" i="4"/>
  <c r="E5" i="4"/>
  <c r="D5" i="4"/>
  <c r="E4" i="4"/>
  <c r="D4" i="4"/>
  <c r="B20" i="3"/>
  <c r="B35" i="3"/>
  <c r="E20" i="3"/>
  <c r="D20" i="3"/>
  <c r="C20" i="3"/>
  <c r="B19" i="3"/>
  <c r="B35" i="4" s="1"/>
  <c r="B36" i="4" s="1"/>
  <c r="E19" i="3"/>
  <c r="D19" i="3"/>
  <c r="C19" i="3"/>
  <c r="B16" i="3"/>
  <c r="E16" i="3"/>
  <c r="D16" i="3"/>
  <c r="C16" i="3"/>
  <c r="E14" i="3"/>
  <c r="D14" i="3"/>
  <c r="C14" i="3"/>
  <c r="B13" i="3"/>
  <c r="E13" i="3"/>
  <c r="D13" i="3"/>
  <c r="C13" i="3"/>
  <c r="B12" i="3"/>
  <c r="E12" i="3"/>
  <c r="D12" i="3"/>
  <c r="C12" i="3"/>
  <c r="B11" i="3"/>
  <c r="H11" i="3" s="1"/>
  <c r="E11" i="3"/>
  <c r="D11" i="3"/>
  <c r="C11" i="3"/>
  <c r="B9" i="3"/>
  <c r="G9" i="3" s="1"/>
  <c r="G4" i="2" s="1"/>
  <c r="E9" i="3"/>
  <c r="D9" i="3"/>
  <c r="C9" i="3"/>
  <c r="B5" i="3"/>
  <c r="F5" i="3" s="1"/>
  <c r="E5" i="3"/>
  <c r="D5" i="3"/>
  <c r="C5" i="3"/>
  <c r="B4" i="3"/>
  <c r="E4" i="3"/>
  <c r="D4" i="3"/>
  <c r="B73" i="2"/>
  <c r="B77" i="2" s="1"/>
  <c r="C73" i="2"/>
  <c r="C77" i="2" s="1"/>
  <c r="C65" i="2"/>
  <c r="B65" i="2"/>
  <c r="C71" i="2"/>
  <c r="B71" i="2"/>
  <c r="C61" i="2"/>
  <c r="B61" i="2"/>
  <c r="C60" i="2"/>
  <c r="B60" i="2"/>
  <c r="E54" i="2"/>
  <c r="D54" i="2"/>
  <c r="C54" i="2"/>
  <c r="C55" i="2" s="1"/>
  <c r="B54" i="2"/>
  <c r="B55" i="2" s="1"/>
  <c r="E49" i="2"/>
  <c r="E55" i="2" s="1"/>
  <c r="D49" i="2"/>
  <c r="C49" i="2"/>
  <c r="B49" i="2"/>
  <c r="E45" i="2"/>
  <c r="D45" i="2"/>
  <c r="C45" i="2"/>
  <c r="B45" i="2"/>
  <c r="E39" i="2"/>
  <c r="D39" i="2"/>
  <c r="D40" i="2" s="1"/>
  <c r="C39" i="2"/>
  <c r="C40" i="2" s="1"/>
  <c r="B39" i="2"/>
  <c r="E33" i="2"/>
  <c r="D33" i="2"/>
  <c r="C33" i="2"/>
  <c r="B33" i="2"/>
  <c r="D7" i="2"/>
  <c r="D14" i="2" s="1"/>
  <c r="D15" i="2" s="1"/>
  <c r="C7" i="2"/>
  <c r="C14" i="2" s="1"/>
  <c r="B7" i="2"/>
  <c r="B12" i="2" s="1"/>
  <c r="B5" i="2"/>
  <c r="E5" i="2"/>
  <c r="D5" i="2"/>
  <c r="C5" i="2"/>
  <c r="E12" i="2"/>
  <c r="G31" i="5"/>
  <c r="G30" i="5"/>
  <c r="G23" i="5"/>
  <c r="G22" i="5"/>
  <c r="G21" i="5"/>
  <c r="G15" i="5"/>
  <c r="G14" i="5"/>
  <c r="G13" i="5"/>
  <c r="G52" i="4"/>
  <c r="F52" i="4"/>
  <c r="E52" i="4"/>
  <c r="D52" i="4"/>
  <c r="C52" i="4"/>
  <c r="B52" i="4"/>
  <c r="F17" i="4"/>
  <c r="H16" i="4"/>
  <c r="G16" i="4"/>
  <c r="F16" i="4"/>
  <c r="F15" i="4"/>
  <c r="F20" i="4" s="1"/>
  <c r="H14" i="4"/>
  <c r="G14" i="4"/>
  <c r="F14" i="4"/>
  <c r="F13" i="4"/>
  <c r="H12" i="4"/>
  <c r="G12" i="4"/>
  <c r="F12" i="4"/>
  <c r="F9" i="4"/>
  <c r="G9" i="4" s="1"/>
  <c r="H9" i="4" s="1"/>
  <c r="H17" i="4" s="1"/>
  <c r="F44" i="4" s="1"/>
  <c r="G8" i="4"/>
  <c r="G15" i="4" s="1"/>
  <c r="G20" i="4" s="1"/>
  <c r="F8" i="4"/>
  <c r="F7" i="4"/>
  <c r="G7" i="4" s="1"/>
  <c r="H24" i="3"/>
  <c r="G24" i="3"/>
  <c r="F24" i="3"/>
  <c r="H22" i="3"/>
  <c r="G22" i="3"/>
  <c r="F22" i="3"/>
  <c r="F74" i="2"/>
  <c r="E74" i="2"/>
  <c r="D74" i="2"/>
  <c r="F69" i="2"/>
  <c r="E69" i="2"/>
  <c r="D69" i="2"/>
  <c r="D62" i="2"/>
  <c r="E62" i="2" s="1"/>
  <c r="F62" i="2" s="1"/>
  <c r="F48" i="2"/>
  <c r="F49" i="2" s="1"/>
  <c r="F32" i="2"/>
  <c r="G32" i="2" s="1"/>
  <c r="H32" i="2" s="1"/>
  <c r="E14" i="2"/>
  <c r="E15" i="2" s="1"/>
  <c r="B5" i="1"/>
  <c r="G59" i="4" s="1"/>
  <c r="F20" i="3" l="1"/>
  <c r="F51" i="2" s="1"/>
  <c r="B39" i="4"/>
  <c r="F46" i="4" s="1"/>
  <c r="F19" i="3"/>
  <c r="D61" i="2" s="1"/>
  <c r="F16" i="3"/>
  <c r="F14" i="3"/>
  <c r="F7" i="3"/>
  <c r="F9" i="3"/>
  <c r="F4" i="2" s="1"/>
  <c r="H9" i="3"/>
  <c r="H4" i="2" s="1"/>
  <c r="F11" i="3"/>
  <c r="G11" i="3"/>
  <c r="E40" i="2"/>
  <c r="B40" i="2"/>
  <c r="D55" i="2"/>
  <c r="D12" i="2"/>
  <c r="C15" i="2"/>
  <c r="C17" i="2"/>
  <c r="C12" i="2"/>
  <c r="B14" i="2"/>
  <c r="B17" i="2" s="1"/>
  <c r="B18" i="2" s="1"/>
  <c r="D17" i="2"/>
  <c r="E17" i="2"/>
  <c r="G48" i="2"/>
  <c r="G49" i="2" s="1"/>
  <c r="H7" i="4"/>
  <c r="H13" i="4" s="1"/>
  <c r="B44" i="4" s="1"/>
  <c r="G13" i="4"/>
  <c r="G17" i="4"/>
  <c r="H8" i="4"/>
  <c r="C59" i="4"/>
  <c r="D59" i="4"/>
  <c r="E59" i="4"/>
  <c r="H59" i="4"/>
  <c r="B7" i="1"/>
  <c r="F21" i="3" l="1"/>
  <c r="D73" i="2" s="1"/>
  <c r="B46" i="4"/>
  <c r="F9" i="2"/>
  <c r="D75" i="2"/>
  <c r="D77" i="2" s="1"/>
  <c r="B15" i="2"/>
  <c r="E18" i="2"/>
  <c r="D18" i="2"/>
  <c r="C18" i="2"/>
  <c r="C20" i="2" s="1"/>
  <c r="B20" i="2"/>
  <c r="H48" i="2"/>
  <c r="H49" i="2" s="1"/>
  <c r="H15" i="4"/>
  <c r="F59" i="4"/>
  <c r="H57" i="4"/>
  <c r="E57" i="4"/>
  <c r="D57" i="4"/>
  <c r="C57" i="4"/>
  <c r="G57" i="4"/>
  <c r="F57" i="4"/>
  <c r="D20" i="2" l="1"/>
  <c r="B59" i="2"/>
  <c r="B64" i="2" s="1"/>
  <c r="B66" i="2" s="1"/>
  <c r="E20" i="2"/>
  <c r="C59" i="2"/>
  <c r="C64" i="2" s="1"/>
  <c r="C66" i="2" s="1"/>
  <c r="E24" i="2"/>
  <c r="E25" i="2" s="1"/>
  <c r="C22" i="2"/>
  <c r="C24" i="2"/>
  <c r="C25" i="2" s="1"/>
  <c r="D22" i="2"/>
  <c r="D24" i="2"/>
  <c r="D25" i="2" s="1"/>
  <c r="B24" i="2"/>
  <c r="B25" i="2" s="1"/>
  <c r="E22" i="2"/>
  <c r="B22" i="2"/>
  <c r="D44" i="4"/>
  <c r="D46" i="4" s="1"/>
  <c r="H20" i="4"/>
  <c r="B79" i="2" l="1"/>
  <c r="C79" i="2"/>
  <c r="B81" i="2" l="1"/>
  <c r="C80" i="2" s="1"/>
  <c r="C81" i="2" s="1"/>
  <c r="F35" i="3"/>
  <c r="G5" i="3"/>
  <c r="G20" i="3" s="1"/>
  <c r="F10" i="2"/>
  <c r="F25" i="4"/>
  <c r="F21" i="4"/>
  <c r="F22" i="4" s="1"/>
  <c r="D60" i="2"/>
  <c r="F17" i="3"/>
  <c r="D68" i="2" s="1"/>
  <c r="D71" i="2" s="1"/>
  <c r="F13" i="3"/>
  <c r="F11" i="2" s="1"/>
  <c r="F3" i="2"/>
  <c r="F36" i="2" s="1"/>
  <c r="F12" i="3"/>
  <c r="F8" i="2" s="1"/>
  <c r="G51" i="2" l="1"/>
  <c r="G21" i="3"/>
  <c r="E73" i="2" s="1"/>
  <c r="G19" i="3"/>
  <c r="D80" i="2"/>
  <c r="B37" i="3"/>
  <c r="F26" i="4"/>
  <c r="F5" i="2"/>
  <c r="F53" i="2"/>
  <c r="F38" i="2"/>
  <c r="F31" i="2"/>
  <c r="F33" i="2" s="1"/>
  <c r="G3" i="2"/>
  <c r="G53" i="2" s="1"/>
  <c r="G14" i="3"/>
  <c r="G35" i="2" s="1"/>
  <c r="G7" i="3"/>
  <c r="G16" i="3"/>
  <c r="G10" i="2" s="1"/>
  <c r="F52" i="2"/>
  <c r="F27" i="4"/>
  <c r="D63" i="2"/>
  <c r="F35" i="2"/>
  <c r="F7" i="2"/>
  <c r="F12" i="2" s="1"/>
  <c r="F23" i="4"/>
  <c r="F24" i="4" s="1"/>
  <c r="G13" i="3"/>
  <c r="G11" i="2" s="1"/>
  <c r="H5" i="3"/>
  <c r="H20" i="3" s="1"/>
  <c r="G12" i="3"/>
  <c r="G8" i="2" s="1"/>
  <c r="G17" i="3"/>
  <c r="H19" i="3" l="1"/>
  <c r="H21" i="3"/>
  <c r="F73" i="2" s="1"/>
  <c r="H51" i="2"/>
  <c r="F54" i="2"/>
  <c r="G9" i="2"/>
  <c r="E75" i="2"/>
  <c r="E77" i="2" s="1"/>
  <c r="E61" i="2"/>
  <c r="G31" i="2"/>
  <c r="G33" i="2" s="1"/>
  <c r="G35" i="3"/>
  <c r="G27" i="4" s="1"/>
  <c r="G21" i="4"/>
  <c r="G22" i="4" s="1"/>
  <c r="G23" i="4" s="1"/>
  <c r="G24" i="4" s="1"/>
  <c r="G38" i="2"/>
  <c r="G36" i="2"/>
  <c r="G5" i="2"/>
  <c r="G7" i="2"/>
  <c r="G14" i="2" s="1"/>
  <c r="G17" i="2" s="1"/>
  <c r="F28" i="4"/>
  <c r="G25" i="4"/>
  <c r="E60" i="2"/>
  <c r="G52" i="2"/>
  <c r="G54" i="2" s="1"/>
  <c r="H14" i="3"/>
  <c r="H7" i="3"/>
  <c r="H16" i="3"/>
  <c r="F14" i="2"/>
  <c r="F15" i="2" s="1"/>
  <c r="H3" i="2"/>
  <c r="H13" i="3"/>
  <c r="H11" i="2" s="1"/>
  <c r="H12" i="3"/>
  <c r="H8" i="2" s="1"/>
  <c r="H17" i="3"/>
  <c r="E68" i="2"/>
  <c r="E71" i="2" s="1"/>
  <c r="G26" i="4"/>
  <c r="E63" i="2" l="1"/>
  <c r="G18" i="2"/>
  <c r="H9" i="2"/>
  <c r="F75" i="2"/>
  <c r="F77" i="2" s="1"/>
  <c r="F61" i="2"/>
  <c r="G12" i="2"/>
  <c r="F17" i="2"/>
  <c r="F18" i="2" s="1"/>
  <c r="D59" i="2" s="1"/>
  <c r="D64" i="2" s="1"/>
  <c r="H31" i="2"/>
  <c r="H33" i="2" s="1"/>
  <c r="G15" i="2"/>
  <c r="G28" i="4"/>
  <c r="H7" i="2"/>
  <c r="H35" i="2"/>
  <c r="H52" i="2"/>
  <c r="H26" i="4"/>
  <c r="F68" i="2"/>
  <c r="F71" i="2" s="1"/>
  <c r="H35" i="3"/>
  <c r="H53" i="2"/>
  <c r="H36" i="2"/>
  <c r="H38" i="2"/>
  <c r="H5" i="2"/>
  <c r="G20" i="2"/>
  <c r="E59" i="2"/>
  <c r="E64" i="2" s="1"/>
  <c r="F60" i="2"/>
  <c r="H10" i="2"/>
  <c r="H21" i="4"/>
  <c r="H22" i="4" s="1"/>
  <c r="H25" i="4"/>
  <c r="F20" i="2" l="1"/>
  <c r="F21" i="2" s="1"/>
  <c r="F24" i="2" s="1"/>
  <c r="H12" i="2"/>
  <c r="H14" i="2"/>
  <c r="H15" i="2" s="1"/>
  <c r="H23" i="4"/>
  <c r="H24" i="4" s="1"/>
  <c r="H54" i="2"/>
  <c r="F63" i="2"/>
  <c r="H27" i="4"/>
  <c r="G21" i="2"/>
  <c r="H17" i="2" l="1"/>
  <c r="H18" i="2" s="1"/>
  <c r="H20" i="2" s="1"/>
  <c r="H28" i="4"/>
  <c r="B64" i="4" s="1"/>
  <c r="E65" i="4"/>
  <c r="C65" i="4"/>
  <c r="E66" i="4"/>
  <c r="F69" i="4"/>
  <c r="F64" i="4"/>
  <c r="B69" i="4"/>
  <c r="B68" i="4"/>
  <c r="D47" i="4"/>
  <c r="D48" i="4" s="1"/>
  <c r="D50" i="4" s="1"/>
  <c r="D51" i="4" s="1"/>
  <c r="E68" i="4"/>
  <c r="B47" i="4"/>
  <c r="B48" i="4" s="1"/>
  <c r="B50" i="4" s="1"/>
  <c r="B51" i="4" s="1"/>
  <c r="C68" i="4"/>
  <c r="F44" i="2"/>
  <c r="E58" i="4"/>
  <c r="G58" i="4"/>
  <c r="C58" i="4"/>
  <c r="F26" i="2"/>
  <c r="F25" i="2"/>
  <c r="D65" i="2"/>
  <c r="D66" i="2" s="1"/>
  <c r="D79" i="2" s="1"/>
  <c r="D81" i="2" s="1"/>
  <c r="F22" i="2"/>
  <c r="G22" i="2"/>
  <c r="E65" i="2"/>
  <c r="E66" i="2" s="1"/>
  <c r="E79" i="2" s="1"/>
  <c r="G24" i="2"/>
  <c r="F66" i="4" l="1"/>
  <c r="F68" i="4"/>
  <c r="D68" i="4"/>
  <c r="F67" i="4"/>
  <c r="D65" i="4"/>
  <c r="F65" i="4"/>
  <c r="F59" i="2"/>
  <c r="F64" i="2" s="1"/>
  <c r="C67" i="4"/>
  <c r="B66" i="4"/>
  <c r="D69" i="4"/>
  <c r="C66" i="4"/>
  <c r="B65" i="4"/>
  <c r="D66" i="4"/>
  <c r="D67" i="4"/>
  <c r="E69" i="4"/>
  <c r="C69" i="4"/>
  <c r="C64" i="4"/>
  <c r="F47" i="4"/>
  <c r="F48" i="4" s="1"/>
  <c r="F50" i="4" s="1"/>
  <c r="F51" i="4" s="1"/>
  <c r="G53" i="4" s="1"/>
  <c r="D64" i="4"/>
  <c r="E67" i="4"/>
  <c r="B67" i="4"/>
  <c r="E64" i="4"/>
  <c r="C51" i="4"/>
  <c r="B53" i="4"/>
  <c r="C53" i="4"/>
  <c r="H21" i="2"/>
  <c r="H24" i="2" s="1"/>
  <c r="E53" i="4"/>
  <c r="D53" i="4"/>
  <c r="E51" i="4"/>
  <c r="E80" i="2"/>
  <c r="E81" i="2" s="1"/>
  <c r="F37" i="3"/>
  <c r="F37" i="2" s="1"/>
  <c r="F39" i="2" s="1"/>
  <c r="F40" i="2" s="1"/>
  <c r="G26" i="2"/>
  <c r="G25" i="2"/>
  <c r="F45" i="2"/>
  <c r="F55" i="2" s="1"/>
  <c r="G44" i="2"/>
  <c r="G51" i="4" l="1"/>
  <c r="F53" i="4"/>
  <c r="H44" i="2"/>
  <c r="H45" i="2" s="1"/>
  <c r="H55" i="2" s="1"/>
  <c r="G45" i="2"/>
  <c r="G55" i="2" s="1"/>
  <c r="D58" i="4"/>
  <c r="H25" i="2"/>
  <c r="H58" i="4"/>
  <c r="H26" i="2"/>
  <c r="F58" i="4"/>
  <c r="F65" i="2"/>
  <c r="F66" i="2" s="1"/>
  <c r="F79" i="2" s="1"/>
  <c r="H22" i="2"/>
  <c r="F80" i="2"/>
  <c r="G37" i="3"/>
  <c r="G37" i="2" s="1"/>
  <c r="G39" i="2" s="1"/>
  <c r="G40" i="2" s="1"/>
  <c r="F81" i="2" l="1"/>
  <c r="H37" i="3" s="1"/>
  <c r="H37" i="2" s="1"/>
  <c r="H39" i="2" s="1"/>
  <c r="H40" i="2" s="1"/>
</calcChain>
</file>

<file path=xl/sharedStrings.xml><?xml version="1.0" encoding="utf-8"?>
<sst xmlns="http://schemas.openxmlformats.org/spreadsheetml/2006/main" count="328" uniqueCount="260">
  <si>
    <t>MARKET PRICE INPUT  —  RAJESH POWER SERVICES LTD</t>
  </si>
  <si>
    <t>Current Market Price — CMP  (₹)</t>
  </si>
  <si>
    <t>Total Shares Outstanding  (Cr.)</t>
  </si>
  <si>
    <t>Market Capitalisation  (₹ Cr.)</t>
  </si>
  <si>
    <t>Net Debt FY26A  (₹ Cr.)  [Debt 127 – Cash 65.45]</t>
  </si>
  <si>
    <t>Enterprise Value  (₹ Cr.)  [MCap + Net Debt]</t>
  </si>
  <si>
    <t>① INCOME STATEMENT  (₹ Cr.)</t>
  </si>
  <si>
    <t>Particulars</t>
  </si>
  <si>
    <t>FY23A
(Standalone)</t>
  </si>
  <si>
    <t>FY24A
(Standalone)</t>
  </si>
  <si>
    <t>FY25A
(Consolidated)</t>
  </si>
  <si>
    <t>FY26A
(Consolidated)</t>
  </si>
  <si>
    <t>FY27E</t>
  </si>
  <si>
    <t>FY28E</t>
  </si>
  <si>
    <t>FY29E</t>
  </si>
  <si>
    <t>Revenue from Operations</t>
  </si>
  <si>
    <t>Other Income</t>
  </si>
  <si>
    <t>Total Income</t>
  </si>
  <si>
    <t>Cost of Goods Sold</t>
  </si>
  <si>
    <t>Employee Benefit Expenses</t>
  </si>
  <si>
    <t>Finance Costs</t>
  </si>
  <si>
    <t>Depreciation &amp; Amortisation</t>
  </si>
  <si>
    <t>Other Expenses</t>
  </si>
  <si>
    <t>Total Expenses</t>
  </si>
  <si>
    <t>EBITDA  (excl. Other Income)</t>
  </si>
  <si>
    <t>EBITDA Margin %</t>
  </si>
  <si>
    <t>EBIT</t>
  </si>
  <si>
    <t>PBT  (before exceptional)</t>
  </si>
  <si>
    <t>Exceptional Items</t>
  </si>
  <si>
    <t>PBT  (after exceptional)</t>
  </si>
  <si>
    <t>Tax</t>
  </si>
  <si>
    <t>Effective Tax Rate %</t>
  </si>
  <si>
    <t>PAT</t>
  </si>
  <si>
    <t>PAT Margin %</t>
  </si>
  <si>
    <t>EPS  (₹ per share)</t>
  </si>
  <si>
    <t>② BALANCE SHEET  (₹ Cr.)</t>
  </si>
  <si>
    <t>ASSETS</t>
  </si>
  <si>
    <t>Property Plant &amp; Equipment</t>
  </si>
  <si>
    <t>Other Non-Current Assets</t>
  </si>
  <si>
    <t>Total Non-Current Assets</t>
  </si>
  <si>
    <t>Inventories</t>
  </si>
  <si>
    <t>Trade Receivables</t>
  </si>
  <si>
    <t>Cash &amp; Bank Balances</t>
  </si>
  <si>
    <t>Other Current Assets</t>
  </si>
  <si>
    <t>Total Current Assets</t>
  </si>
  <si>
    <t>TOTAL ASSETS</t>
  </si>
  <si>
    <t>EQUITY &amp; LIABILITIES</t>
  </si>
  <si>
    <t>Equity Share Capital</t>
  </si>
  <si>
    <t>Other Equity</t>
  </si>
  <si>
    <t>Total Equity  (Net Worth)</t>
  </si>
  <si>
    <t>Long-Term Borrowings</t>
  </si>
  <si>
    <t>Other Non-Current Liabilities</t>
  </si>
  <si>
    <t>Total Non-Current Liabilities</t>
  </si>
  <si>
    <t>Short-Term Borrowings</t>
  </si>
  <si>
    <t>Trade Payables</t>
  </si>
  <si>
    <t>Other Current Liabilities</t>
  </si>
  <si>
    <t>Total Current Liabilities</t>
  </si>
  <si>
    <t>TOTAL EQUITY &amp; LIABILITIES</t>
  </si>
  <si>
    <t>③ CASH FLOW STATEMENT  (₹ Cr.)</t>
  </si>
  <si>
    <t>Add: Depreciation &amp; Amortisation</t>
  </si>
  <si>
    <t>Add: Finance Costs</t>
  </si>
  <si>
    <t>Add: Other Non-Cash Adjustments</t>
  </si>
  <si>
    <t>Changes in Working Capital</t>
  </si>
  <si>
    <t>Cash from Operations  (CFO)</t>
  </si>
  <si>
    <t>Capital Expenditure — Maintenance</t>
  </si>
  <si>
    <t>BESS Equity Capex</t>
  </si>
  <si>
    <t>Other Investing Activities</t>
  </si>
  <si>
    <t>Cash from Investing  (CFI)</t>
  </si>
  <si>
    <t>Proceeds from Borrowings  (net)</t>
  </si>
  <si>
    <t>Dividend Paid</t>
  </si>
  <si>
    <t>Finance Costs Paid</t>
  </si>
  <si>
    <t>Cash from Financing  (CFF)</t>
  </si>
  <si>
    <t>Net Change in Cash</t>
  </si>
  <si>
    <t>Opening Cash</t>
  </si>
  <si>
    <t>Closing Cash</t>
  </si>
  <si>
    <t>Colour Key:  Blue = Hardcoded input  |  Green = Linked from Assumptions tab  |  Yellow = Key output</t>
  </si>
  <si>
    <t>MODEL ASSUMPTIONS  —  RAJESH POWER SERVICES LTD  (All values in ₹ Cr.)</t>
  </si>
  <si>
    <t>Assumption / Driver</t>
  </si>
  <si>
    <t>FY26A Base
(Input)</t>
  </si>
  <si>
    <t>FY23A</t>
  </si>
  <si>
    <t>FY24A</t>
  </si>
  <si>
    <t>FY25A</t>
  </si>
  <si>
    <t>A.  REVENUE</t>
  </si>
  <si>
    <t>Revenue Growth Rate  (Base: 40% CAGR  |  Mgmt guidance: 40% CAGR over 4-5 yrs)</t>
  </si>
  <si>
    <t>Revenue from Operations  (₹ Cr.)</t>
  </si>
  <si>
    <t xml:space="preserve">  — BESS Revenue Ramp  (10-15% of total revenue by FY29)</t>
  </si>
  <si>
    <t>BESS Revenue  (₹ Cr.)  — 65MW GUVNL project + pipeline</t>
  </si>
  <si>
    <t>FY27: nil (construction). FY28: ₹7.37 Cr (65MW × 50% ramp, H2 commissioning). FY29: ₹25 Cr (full yr + pipeline BESS). ~11% of FY29E revenue.</t>
  </si>
  <si>
    <t>BESS as % of Total Revenue  (%)</t>
  </si>
  <si>
    <t>Other Income  (₹ Cr.)  — JV dividend + interest (flat)</t>
  </si>
  <si>
    <t>Flat per management — no growth guidance on JV. JV income separately in row 24.</t>
  </si>
  <si>
    <t>B.  MARGIN ASSUMPTIONS</t>
  </si>
  <si>
    <t>EBITDA Margin %  (Base=12.0%  |  Bear=10.0%  |  Bull=13.0%  — set in DCF tab)</t>
  </si>
  <si>
    <t>Employee Expenses  (₹ Cr.)  [Rev × 3.6% — FY26: 59.01/1627.94]</t>
  </si>
  <si>
    <t>Other Expenses  (₹ Cr.)  [Rev × 2.6% — FY26: 42.27/1627.94]</t>
  </si>
  <si>
    <t>C.  DEPRECIATION,  AMORTISATION  &amp;  CAPEX</t>
  </si>
  <si>
    <t>D&amp;A  (₹ Cr.)  [Revenue × 0.07%  —  FY26: 1.14 Cr;  held constant as % of revenue]</t>
  </si>
  <si>
    <t>Maintenance Capex  (₹ Cr.)  [Revenue × 0.13%  —  FY26: 2.14 Cr;  asset-light EPC model]</t>
  </si>
  <si>
    <t>D.  FINANCE COST</t>
  </si>
  <si>
    <t>Finance Costs  (₹ Cr.)  [(STB + LTB 45) × 8.5% interest rate]</t>
  </si>
  <si>
    <t>Short-Term Borrowings  (₹ Cr.)  — grows with WC funding needs</t>
  </si>
  <si>
    <t>Incremental Borrowings  (net, ₹ Cr.)  — change in STB</t>
  </si>
  <si>
    <t>Dividend Paid  (₹ Cr.)  — ₹1/share × 1.8007 Cr shares</t>
  </si>
  <si>
    <t>JV / Associate Income  (₹ Cr.)  — flat, no growth guidance</t>
  </si>
  <si>
    <t>Shares Outstanding  (Cr.)</t>
  </si>
  <si>
    <t>F.  WORKING CAPITAL DAYS  (Peer-Benchmarked  —  see Comparables tab)</t>
  </si>
  <si>
    <t>Debtor Days  (receivable collection period)</t>
  </si>
  <si>
    <t>Assumption: 50d.  RPSL FY26 adj. ~45d  |  KEC 92d  |  Skipper 67d  |  Techno 61d.  Taking 50d (conservative, above RPSL actual, below peers).</t>
  </si>
  <si>
    <t>Payable Days  (creditor payment period)</t>
  </si>
  <si>
    <t>Assumption: 85d.  RPSL FY26 ~90d  |  KEC 86d  |  Skipper 72d  |  Techno 44d.  Normalising to 85d, in line with KEC peer (same scale EPC).</t>
  </si>
  <si>
    <t>Debtor Days  (receivable collection period — assumption)</t>
  </si>
  <si>
    <t>50d: RPSL FY26 adj ~45d | KEC 92d | Skipper 67d | Techno 61d → conservative mid-point</t>
  </si>
  <si>
    <t>Inventory Days  (stock holding period — assumption)</t>
  </si>
  <si>
    <t>28d: RPSL FY26 actual 28d | KEC 41d | Techno 25d → retaining actual (project-specific procurement)</t>
  </si>
  <si>
    <t>Payable Days  (creditor payment period — assumption)</t>
  </si>
  <si>
    <t>85d: RPSL FY26 ~90d | KEC 86d | Skipper 72d → normalised to 85d (KEC-peer comparable)</t>
  </si>
  <si>
    <t>G.  CHANGE IN WORKING CAPITAL  (₹ Cr.)</t>
  </si>
  <si>
    <t>Δ Working Capital  (₹ Cr.)  [outflow negative — referenced by CF Statement]</t>
  </si>
  <si>
    <t>H.  CLOSING CASH  (Linked from CF Statement)</t>
  </si>
  <si>
    <t>Closing Cash &amp; Bank  (₹ Cr.)</t>
  </si>
  <si>
    <t>I.  BESS PROJECT ASSUMPTIONS  —  65 MW / 130 MWh  (GUVNL Phase VII PSDF)</t>
  </si>
  <si>
    <t>Total Project Cost  (₹ Cr.)  [130 MWh × ₹3.35 Cr/MWh]</t>
  </si>
  <si>
    <t>Project Finance — Debt 70%  (₹ Cr.)  [Off-balance-sheet SPV debt]</t>
  </si>
  <si>
    <t>Project Finance — Equity 30%  (₹ Cr.)  [RPSL cash contribution]</t>
  </si>
  <si>
    <t>VGF  (₹ Cr.)  [Phase VII PSDF ~₹0.70 L/MWh × 130 MWh]</t>
  </si>
  <si>
    <t>Net Equity Invested after VGF  (₹ Cr.)  — RPSL cash outflow</t>
  </si>
  <si>
    <t>BESS Equity Capex  (₹ Cr.)  — FY27 investing outflow  [−121.55]</t>
  </si>
  <si>
    <t>Annual Tariff Revenue  (₹ Cr.)  [65MW × ₹1.89 L/MW/mth × 12]</t>
  </si>
  <si>
    <t>BESS EBITDA Margin %  [Annuity, minimal opex, ~85%]</t>
  </si>
  <si>
    <t>Equity IRR  (12–15% range; taking 13%)</t>
  </si>
  <si>
    <t>Construction Period  (months)</t>
  </si>
  <si>
    <t>BESS Note: Project financed 70:30 debt:equity. Project-finance debt (₹304.85 Cr) is off-balance-sheet via SPV. RPSL equity (₹121.55 Cr net of VGF ₹9.10 Cr) flows as investing outflow in FY27. Revenue commences H2FY28 post ~20-month construction. Tariff: ₹1.89 L/MW/month fixed for 12 years. BESS revenue targets: FY27=₹0 Cr, FY28=₹7.37 Cr (50% ramp), FY29=₹25 Cr (full year + new BESS pipeline). Equity IRR: 13% on ₹121.55 Cr. BESS reaches ~11% of total FY29 revenue (vs 10-15% target).</t>
  </si>
  <si>
    <t>Base Input</t>
  </si>
  <si>
    <t>① REVENUE SCENARIOS  (₹ Cr.)</t>
  </si>
  <si>
    <t>Bear Case  —  Revenue Growth Rate</t>
  </si>
  <si>
    <t>Base Case  —  Revenue Growth Rate</t>
  </si>
  <si>
    <t>Bull Case  —  Revenue Growth Rate</t>
  </si>
  <si>
    <t>Bear Case  —  Revenue  (₹ Cr.)</t>
  </si>
  <si>
    <t>Base Case  —  Revenue  (₹ Cr.)</t>
  </si>
  <si>
    <t>Bull Case  —  Revenue  (₹ Cr.)</t>
  </si>
  <si>
    <t>② EBITDA BRIDGE  —  Margin × Revenue  (₹ Cr.)</t>
  </si>
  <si>
    <t>Bear Case  —  EBITDA Margin %</t>
  </si>
  <si>
    <t>Bear Case  —  EBITDA  (₹ Cr.)</t>
  </si>
  <si>
    <t>Base Case  —  EBITDA Margin %</t>
  </si>
  <si>
    <t>Base Case  —  EBITDA  (₹ Cr.)</t>
  </si>
  <si>
    <t>Bull Case  —  EBITDA Margin %</t>
  </si>
  <si>
    <t>Bull Case  —  EBITDA  (₹ Cr.)</t>
  </si>
  <si>
    <t>③ FCFF WATERFALL  —  Base Case  (₹ Cr.)</t>
  </si>
  <si>
    <t>EBITDA</t>
  </si>
  <si>
    <t>(-) Depreciation &amp; Amort.</t>
  </si>
  <si>
    <t>(-) Tax on EBIT  @ 25.17%</t>
  </si>
  <si>
    <t>NOPAT</t>
  </si>
  <si>
    <t>(+) D&amp;A  add-back</t>
  </si>
  <si>
    <t>(-) Maintenance Capex</t>
  </si>
  <si>
    <t>(-) Δ Net Working Capital</t>
  </si>
  <si>
    <t>FCFF</t>
  </si>
  <si>
    <t>④ WACC SUMMARY</t>
  </si>
  <si>
    <t>Risk-free Rate  (10Y G-Sec)</t>
  </si>
  <si>
    <t>Equity Risk Premium  (India ERP)</t>
  </si>
  <si>
    <t>Beta  (Levered, T&amp;D EPC)</t>
  </si>
  <si>
    <t>Cost of Equity  [Rf + β × ERP]</t>
  </si>
  <si>
    <t>Cost of Debt  (pre-tax 8.5%)</t>
  </si>
  <si>
    <t>Cost of Debt  (after tax)</t>
  </si>
  <si>
    <t>Weight of Equity</t>
  </si>
  <si>
    <t>Weight of Debt</t>
  </si>
  <si>
    <t>WACC</t>
  </si>
  <si>
    <t>Terminal Growth Rate</t>
  </si>
  <si>
    <t>⑤ VALUATION TABLE  —  Bear / Base / Bull  (₹ Cr. and ₹ per share)</t>
  </si>
  <si>
    <t>Metric</t>
  </si>
  <si>
    <t>Bear Case
(₹ Cr.)</t>
  </si>
  <si>
    <t>Bear
(₹/sh)</t>
  </si>
  <si>
    <t>Base Case
(₹ Cr.)</t>
  </si>
  <si>
    <t>Base
(₹/sh)</t>
  </si>
  <si>
    <t>Bull Case
(₹ Cr.)</t>
  </si>
  <si>
    <t>Bull
(₹/sh)</t>
  </si>
  <si>
    <t>FY29E EBITDA  (₹ Cr.)</t>
  </si>
  <si>
    <t>PV of Terminal Value  (₹ Cr.)</t>
  </si>
  <si>
    <t>PV of FCFFs  FY27–29  (₹ Cr.)</t>
  </si>
  <si>
    <t>Enterprise Value  (₹ Cr.)</t>
  </si>
  <si>
    <t>(-) Net Debt  (₹ Cr.)</t>
  </si>
  <si>
    <t>Equity Value  (₹ Cr.)</t>
  </si>
  <si>
    <t>Equity Value / Share  (₹)</t>
  </si>
  <si>
    <t>CMP  (₹)  —  live from CMP Input</t>
  </si>
  <si>
    <t>Upside / (Downside)  %</t>
  </si>
  <si>
    <t>⑥ TRADING MULTIPLES  —  Implied at CMP  (EV/EBITDA, P/E, P/Sales)</t>
  </si>
  <si>
    <t>Multiple</t>
  </si>
  <si>
    <t>Current
FY26A</t>
  </si>
  <si>
    <t>Bear
FY27E</t>
  </si>
  <si>
    <t>Bear
FY29E</t>
  </si>
  <si>
    <t>Base
FY27E</t>
  </si>
  <si>
    <t>Base
FY29E</t>
  </si>
  <si>
    <t>Bull
FY27E</t>
  </si>
  <si>
    <t>Bull
FY29E</t>
  </si>
  <si>
    <t>Peer
Avg</t>
  </si>
  <si>
    <t>EV / EBITDA  (x)</t>
  </si>
  <si>
    <t>16.7x</t>
  </si>
  <si>
    <t>P / E  (x)</t>
  </si>
  <si>
    <t>32.2x</t>
  </si>
  <si>
    <t>P / Sales  (x)</t>
  </si>
  <si>
    <t>2.1x</t>
  </si>
  <si>
    <t>⑦ SENSITIVITY  —  Implied Equity Value / Share  (₹)   WACC  (rows) × Terminal Growth Rate  (cols)</t>
  </si>
  <si>
    <t>WACC  ↓  /  TGR  →</t>
  </si>
  <si>
    <t>Note: Yellow = base case (WACC 15%, TGR 4%). Values = equity value per share (₹). Based on Base Case FCFF. N/A = WACC ≤ TGR (Gordon Growth undefined).</t>
  </si>
  <si>
    <t>COMPARABLE COMPANIES  —  India T&amp;D EPC Sector  (FY26 Actuals  |  Source: BSE / NSE / Company Filings)</t>
  </si>
  <si>
    <t>Company</t>
  </si>
  <si>
    <t>MCap
(₹ Cr.)</t>
  </si>
  <si>
    <t>EBITDA
(₹ Cr.)</t>
  </si>
  <si>
    <t>EBITDA
Margin</t>
  </si>
  <si>
    <t>PAT
(₹ Cr.)</t>
  </si>
  <si>
    <t>PAT
Margin</t>
  </si>
  <si>
    <t>EV/
EBITDA</t>
  </si>
  <si>
    <t>P/E
(x)</t>
  </si>
  <si>
    <t>P/Sales
(x)</t>
  </si>
  <si>
    <t>RoCE
(%)</t>
  </si>
  <si>
    <t>KEC International</t>
  </si>
  <si>
    <t>Skipper Ltd</t>
  </si>
  <si>
    <t>Techno Electric &amp; Engg</t>
  </si>
  <si>
    <t>RPSL  (FY26 Actual)</t>
  </si>
  <si>
    <t>Peer Average  (excl. RPSL)</t>
  </si>
  <si>
    <t>DEBTOR DAYS  —  FY22 to FY26  (Peer Benchmark)</t>
  </si>
  <si>
    <t>FY22</t>
  </si>
  <si>
    <t>FY23</t>
  </si>
  <si>
    <t>FY24</t>
  </si>
  <si>
    <t>FY25</t>
  </si>
  <si>
    <t>FY26</t>
  </si>
  <si>
    <t>5Y Avg</t>
  </si>
  <si>
    <t>RPSL  (FY26 adj.)</t>
  </si>
  <si>
    <t>INVENTORY DAYS  —  FY22 to FY26  (Peer Benchmark)</t>
  </si>
  <si>
    <t>RPSL  (FY26 actual)</t>
  </si>
  <si>
    <t>PAYABLE DAYS  —  FY22 to FY26  (Peer Benchmark)</t>
  </si>
  <si>
    <t>PBT  (before tax)</t>
  </si>
  <si>
    <t>Less: Tax Paid</t>
  </si>
  <si>
    <t>Cash Generated from operations</t>
  </si>
  <si>
    <t>Net proceeds from issuance of shares</t>
  </si>
  <si>
    <t>EBITDA Margin to stay at FY26 level of 12%</t>
  </si>
  <si>
    <t>Employee expense as a % of operating revenue</t>
  </si>
  <si>
    <t>Other expense as a % of operating revenue</t>
  </si>
  <si>
    <t>Cost of Goods Sold  (₹ Cr.)  [Rev×(1−EBITDA%−Emp%) ]</t>
  </si>
  <si>
    <t>Depreciation as a % of revenue</t>
  </si>
  <si>
    <t>Maintenance capex as a % of revenue</t>
  </si>
  <si>
    <t>ramp up in revenue in next 3y</t>
  </si>
  <si>
    <t>STB as % of revenue</t>
  </si>
  <si>
    <t>Effective Tax Rate  [Base rate 25.17%  — standard corporate rate]</t>
  </si>
  <si>
    <t xml:space="preserve">Jan'26 Damodaran Estimates </t>
  </si>
  <si>
    <t>Total Equity</t>
  </si>
  <si>
    <t>Total Debt</t>
  </si>
  <si>
    <t>Total</t>
  </si>
  <si>
    <t>RAJESH POWER SERVICES LTD  —  DCF &amp; VALUATION MODEL  (₹ Cr.  |  All forecasts are Base Case unless stated)</t>
  </si>
  <si>
    <t>Terminal Value  @ 7× EV/EBITDA  (₹ Cr.)</t>
  </si>
  <si>
    <t>steady state EV/EBITDA multiple should be 5-7x, expected in FY32, so extrapolating 6x EV/EBITDA 2032 multiple at 16% CAGR gives us an EV/EBITDA exit multiple at 7x FY30</t>
  </si>
  <si>
    <t>G.  WORKING CAPITAL DAYS  (Peer-Benchmarked  —  see Comparables tab)</t>
  </si>
  <si>
    <t>Net Debt</t>
  </si>
  <si>
    <t>EV/EBITDA</t>
  </si>
  <si>
    <t>P/E</t>
  </si>
  <si>
    <t>P/Sales</t>
  </si>
  <si>
    <t>TTM Revenue
(₹ Cr.)</t>
  </si>
  <si>
    <t>EV</t>
  </si>
  <si>
    <t>-</t>
  </si>
  <si>
    <t>Change cell B3 to update upside/downside across model automatically.</t>
  </si>
  <si>
    <t>Viviana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</si>
</sst>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%;\(0.0%\);\-"/>
    <numFmt numFmtId="165" formatCode="#,##0.0000"/>
    <numFmt numFmtId="166" formatCode="#,##0.00;\(#,##0.00\);\-"/>
    <numFmt numFmtId="167" formatCode="#,##0;\(#,##0\);\-"/>
    <numFmt numFmtId="168" formatCode="0.0\x"/>
    <numFmt numFmtId="169" formatCode="#,##0.0"/>
    <numFmt numFmtId="170" formatCode="#,##0.0000000000000"/>
    <numFmt numFmtId="171" formatCode="0.0%"/>
    <numFmt numFmtId="172" formatCode="0.0"/>
    <numFmt numFmtId="173" formatCode="0.00%;\(0.00%\);\-"/>
    <numFmt numFmtId="174" formatCode="#,##0.0;\(#,##0.0\);\-"/>
  </numFmts>
  <fonts count="15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FF"/>
      <name val="Calibri"/>
      <family val="2"/>
    </font>
    <font>
      <i/>
      <sz val="9"/>
      <color rgb="FF595959"/>
      <name val="Calibri"/>
      <family val="2"/>
    </font>
    <font>
      <b/>
      <sz val="11"/>
      <color rgb="FF008000"/>
      <name val="Calibri"/>
      <family val="2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sz val="11"/>
      <color rgb="FF008000"/>
      <name val="Calibri"/>
      <family val="2"/>
    </font>
    <font>
      <b/>
      <sz val="11"/>
      <color rgb="FF595959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  <charset val="1"/>
    </font>
    <font>
      <sz val="9"/>
      <color theme="1"/>
      <name val="Calibri"/>
      <family val="2"/>
    </font>
    <font>
      <b/>
      <i/>
      <sz val="9"/>
      <color rgb="FF59595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2E4D8A"/>
        <bgColor rgb="FF1F3864"/>
      </patternFill>
    </fill>
    <fill>
      <patternFill patternType="solid">
        <fgColor rgb="FFD6E4F7"/>
        <bgColor rgb="FFCC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Border="0" applyAlignment="0" applyProtection="0"/>
    <xf numFmtId="0" fontId="12" fillId="0" borderId="0" applyNumberFormat="0" applyFill="0" applyBorder="0" applyAlignment="0" applyProtection="0"/>
  </cellStyleXfs>
  <cellXfs count="80">
    <xf numFmtId="0" fontId="0" fillId="0" borderId="0" xfId="0"/>
    <xf numFmtId="0" fontId="2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166" fontId="4" fillId="5" borderId="1" xfId="0" applyNumberFormat="1" applyFont="1" applyFill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66" fontId="8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166" fontId="3" fillId="5" borderId="1" xfId="0" applyNumberFormat="1" applyFont="1" applyFill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166" fontId="7" fillId="0" borderId="1" xfId="0" applyNumberFormat="1" applyFont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166" fontId="4" fillId="3" borderId="1" xfId="0" applyNumberFormat="1" applyFont="1" applyFill="1" applyBorder="1" applyAlignment="1">
      <alignment horizontal="right" vertical="center"/>
    </xf>
    <xf numFmtId="166" fontId="3" fillId="3" borderId="1" xfId="0" applyNumberFormat="1" applyFont="1" applyFill="1" applyBorder="1" applyAlignment="1">
      <alignment horizontal="right" vertical="center"/>
    </xf>
    <xf numFmtId="0" fontId="0" fillId="0" borderId="1" xfId="0" applyBorder="1"/>
    <xf numFmtId="164" fontId="8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166" fontId="8" fillId="3" borderId="1" xfId="0" applyNumberFormat="1" applyFont="1" applyFill="1" applyBorder="1" applyAlignment="1">
      <alignment horizontal="right" vertical="center"/>
    </xf>
    <xf numFmtId="165" fontId="8" fillId="3" borderId="1" xfId="0" applyNumberFormat="1" applyFont="1" applyFill="1" applyBorder="1" applyAlignment="1">
      <alignment horizontal="right" vertical="center"/>
    </xf>
    <xf numFmtId="0" fontId="7" fillId="0" borderId="1" xfId="0" applyFont="1" applyBorder="1"/>
    <xf numFmtId="167" fontId="8" fillId="0" borderId="1" xfId="0" applyNumberFormat="1" applyFont="1" applyBorder="1" applyAlignment="1">
      <alignment horizontal="right" vertical="center"/>
    </xf>
    <xf numFmtId="2" fontId="8" fillId="3" borderId="1" xfId="0" applyNumberFormat="1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168" fontId="8" fillId="0" borderId="1" xfId="0" applyNumberFormat="1" applyFont="1" applyBorder="1" applyAlignment="1">
      <alignment horizontal="right" vertical="center"/>
    </xf>
    <xf numFmtId="168" fontId="7" fillId="0" borderId="1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6" fontId="7" fillId="5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left" vertical="center"/>
    </xf>
    <xf numFmtId="166" fontId="7" fillId="5" borderId="1" xfId="0" applyNumberFormat="1" applyFon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center" vertical="center" wrapText="1"/>
    </xf>
    <xf numFmtId="168" fontId="7" fillId="5" borderId="1" xfId="0" applyNumberFormat="1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8" fontId="2" fillId="2" borderId="1" xfId="0" applyNumberFormat="1" applyFont="1" applyFill="1" applyBorder="1" applyAlignment="1">
      <alignment horizontal="center" vertical="center" wrapText="1"/>
    </xf>
    <xf numFmtId="166" fontId="3" fillId="5" borderId="1" xfId="0" applyNumberFormat="1" applyFont="1" applyFill="1" applyBorder="1" applyAlignment="1">
      <alignment horizontal="center" vertical="center" wrapText="1"/>
    </xf>
    <xf numFmtId="167" fontId="3" fillId="5" borderId="1" xfId="0" applyNumberFormat="1" applyFont="1" applyFill="1" applyBorder="1" applyAlignment="1">
      <alignment horizontal="center" vertical="center" wrapText="1"/>
    </xf>
    <xf numFmtId="167" fontId="7" fillId="0" borderId="1" xfId="0" applyNumberFormat="1" applyFont="1" applyBorder="1" applyAlignment="1">
      <alignment horizontal="center" vertical="center" wrapText="1"/>
    </xf>
    <xf numFmtId="169" fontId="3" fillId="0" borderId="1" xfId="0" applyNumberFormat="1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9" fontId="0" fillId="0" borderId="0" xfId="0" applyNumberFormat="1"/>
    <xf numFmtId="166" fontId="6" fillId="0" borderId="1" xfId="0" applyNumberFormat="1" applyFont="1" applyBorder="1" applyAlignment="1">
      <alignment horizontal="right" vertical="center"/>
    </xf>
    <xf numFmtId="170" fontId="0" fillId="0" borderId="0" xfId="0" applyNumberFormat="1"/>
    <xf numFmtId="9" fontId="1" fillId="0" borderId="0" xfId="1"/>
    <xf numFmtId="0" fontId="13" fillId="0" borderId="0" xfId="0" applyFont="1"/>
    <xf numFmtId="10" fontId="1" fillId="6" borderId="1" xfId="1" applyNumberFormat="1" applyFill="1" applyBorder="1" applyAlignment="1">
      <alignment horizontal="right" vertical="center"/>
    </xf>
    <xf numFmtId="171" fontId="1" fillId="0" borderId="1" xfId="1" applyNumberFormat="1" applyBorder="1" applyAlignment="1">
      <alignment horizontal="right" vertical="center"/>
    </xf>
    <xf numFmtId="10" fontId="1" fillId="0" borderId="1" xfId="1" applyNumberFormat="1" applyBorder="1" applyAlignment="1">
      <alignment horizontal="right" vertical="center"/>
    </xf>
    <xf numFmtId="172" fontId="4" fillId="3" borderId="1" xfId="0" applyNumberFormat="1" applyFont="1" applyFill="1" applyBorder="1" applyAlignment="1">
      <alignment horizontal="right" vertical="center"/>
    </xf>
    <xf numFmtId="1" fontId="4" fillId="3" borderId="1" xfId="0" applyNumberFormat="1" applyFont="1" applyFill="1" applyBorder="1" applyAlignment="1">
      <alignment horizontal="right" vertical="center"/>
    </xf>
    <xf numFmtId="0" fontId="0" fillId="6" borderId="1" xfId="0" applyFill="1" applyBorder="1"/>
    <xf numFmtId="173" fontId="8" fillId="3" borderId="1" xfId="0" applyNumberFormat="1" applyFont="1" applyFill="1" applyBorder="1" applyAlignment="1">
      <alignment horizontal="right" vertical="center"/>
    </xf>
    <xf numFmtId="173" fontId="7" fillId="0" borderId="1" xfId="0" applyNumberFormat="1" applyFont="1" applyBorder="1" applyAlignment="1">
      <alignment horizontal="right" vertical="center"/>
    </xf>
    <xf numFmtId="173" fontId="3" fillId="3" borderId="1" xfId="0" applyNumberFormat="1" applyFont="1" applyFill="1" applyBorder="1" applyAlignment="1">
      <alignment horizontal="right" vertical="center"/>
    </xf>
    <xf numFmtId="0" fontId="12" fillId="0" borderId="0" xfId="2"/>
    <xf numFmtId="173" fontId="4" fillId="3" borderId="1" xfId="0" applyNumberFormat="1" applyFont="1" applyFill="1" applyBorder="1" applyAlignment="1">
      <alignment horizontal="right" vertical="center"/>
    </xf>
    <xf numFmtId="0" fontId="0" fillId="0" borderId="3" xfId="0" applyBorder="1"/>
    <xf numFmtId="10" fontId="1" fillId="0" borderId="3" xfId="1" applyNumberFormat="1" applyBorder="1"/>
    <xf numFmtId="0" fontId="11" fillId="0" borderId="3" xfId="0" applyFont="1" applyBorder="1"/>
    <xf numFmtId="0" fontId="7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74" fontId="3" fillId="0" borderId="1" xfId="0" applyNumberFormat="1" applyFont="1" applyBorder="1" applyAlignment="1">
      <alignment horizontal="right" vertical="center"/>
    </xf>
    <xf numFmtId="169" fontId="4" fillId="0" borderId="1" xfId="0" applyNumberFormat="1" applyFont="1" applyBorder="1" applyAlignment="1">
      <alignment horizontal="right" vertical="center"/>
    </xf>
    <xf numFmtId="0" fontId="14" fillId="0" borderId="0" xfId="0" applyFont="1"/>
    <xf numFmtId="0" fontId="2" fillId="2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339966"/>
      <rgbColor rgb="FF003300"/>
      <rgbColor rgb="FF333300"/>
      <rgbColor rgb="FF993300"/>
      <rgbColor rgb="FF993366"/>
      <rgbColor rgb="FF2E4D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pages.stern.nyu.edu/~adamodar/New_Home_Page/datafile/ctryprem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showGridLines="0" tabSelected="1" zoomScaleNormal="100" workbookViewId="0">
      <selection activeCell="B4" sqref="B4"/>
    </sheetView>
  </sheetViews>
  <sheetFormatPr defaultColWidth="8.6640625" defaultRowHeight="14.4" x14ac:dyDescent="0.3"/>
  <cols>
    <col min="1" max="1" width="42" customWidth="1"/>
    <col min="2" max="2" width="22" customWidth="1"/>
  </cols>
  <sheetData>
    <row r="1" spans="1:3" ht="24" customHeight="1" x14ac:dyDescent="0.3">
      <c r="A1" s="79" t="s">
        <v>0</v>
      </c>
      <c r="B1" s="79"/>
    </row>
    <row r="3" spans="1:3" ht="21.75" customHeight="1" x14ac:dyDescent="0.3">
      <c r="A3" s="3" t="s">
        <v>1</v>
      </c>
      <c r="B3" s="59">
        <v>868</v>
      </c>
    </row>
    <row r="4" spans="1:3" ht="21.75" customHeight="1" x14ac:dyDescent="0.3">
      <c r="A4" s="3" t="s">
        <v>2</v>
      </c>
      <c r="B4" s="73">
        <v>1.8007</v>
      </c>
    </row>
    <row r="5" spans="1:3" ht="21.75" customHeight="1" x14ac:dyDescent="0.3">
      <c r="A5" s="3" t="s">
        <v>3</v>
      </c>
      <c r="B5" s="72">
        <f>B3*B4</f>
        <v>1563.0075999999999</v>
      </c>
    </row>
    <row r="6" spans="1:3" ht="21.75" customHeight="1" x14ac:dyDescent="0.3">
      <c r="A6" s="3" t="s">
        <v>4</v>
      </c>
      <c r="B6" s="6">
        <f>Assumptions!B27</f>
        <v>61.790000000000006</v>
      </c>
    </row>
    <row r="7" spans="1:3" ht="21.75" customHeight="1" x14ac:dyDescent="0.3">
      <c r="A7" s="3" t="s">
        <v>5</v>
      </c>
      <c r="B7" s="72">
        <f>B5+B6</f>
        <v>1624.7975999999999</v>
      </c>
    </row>
    <row r="8" spans="1:3" ht="21.75" customHeight="1" x14ac:dyDescent="0.3">
      <c r="A8" s="3" t="s">
        <v>252</v>
      </c>
      <c r="B8" s="72">
        <v>9.19</v>
      </c>
      <c r="C8" s="71"/>
    </row>
    <row r="9" spans="1:3" ht="21.75" customHeight="1" x14ac:dyDescent="0.3">
      <c r="A9" s="3" t="s">
        <v>253</v>
      </c>
      <c r="B9" s="72">
        <v>13</v>
      </c>
      <c r="C9" s="71"/>
    </row>
    <row r="10" spans="1:3" ht="21.75" customHeight="1" x14ac:dyDescent="0.3">
      <c r="A10" s="3" t="s">
        <v>254</v>
      </c>
      <c r="B10" s="72">
        <v>1.1100000000000001</v>
      </c>
      <c r="C10" s="71"/>
    </row>
    <row r="12" spans="1:3" ht="18" customHeight="1" x14ac:dyDescent="0.3">
      <c r="A12" s="74" t="s">
        <v>258</v>
      </c>
    </row>
    <row r="13" spans="1:3" x14ac:dyDescent="0.3">
      <c r="A13" s="74" t="s">
        <v>75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K83"/>
  <sheetViews>
    <sheetView showGridLines="0" zoomScale="92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3" sqref="E3"/>
    </sheetView>
  </sheetViews>
  <sheetFormatPr defaultColWidth="8.6640625" defaultRowHeight="14.4" x14ac:dyDescent="0.3"/>
  <cols>
    <col min="1" max="1" width="38" customWidth="1"/>
    <col min="2" max="8" width="14" customWidth="1"/>
    <col min="9" max="9" width="18" bestFit="1" customWidth="1"/>
  </cols>
  <sheetData>
    <row r="1" spans="1:11" x14ac:dyDescent="0.3">
      <c r="A1" s="75" t="s">
        <v>6</v>
      </c>
      <c r="B1" s="75"/>
      <c r="C1" s="75"/>
      <c r="D1" s="75"/>
      <c r="E1" s="75"/>
      <c r="F1" s="75"/>
      <c r="G1" s="75"/>
      <c r="H1" s="75"/>
    </row>
    <row r="2" spans="1:11" ht="34.5" customHeight="1" x14ac:dyDescent="0.3">
      <c r="A2" s="1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8" t="s">
        <v>14</v>
      </c>
    </row>
    <row r="3" spans="1:11" x14ac:dyDescent="0.3">
      <c r="A3" s="9" t="s">
        <v>15</v>
      </c>
      <c r="B3" s="10">
        <v>207.18</v>
      </c>
      <c r="C3" s="10">
        <v>284.97000000000003</v>
      </c>
      <c r="D3" s="10">
        <v>1107.43</v>
      </c>
      <c r="E3" s="10">
        <v>1627.94</v>
      </c>
      <c r="F3" s="11">
        <f>Assumptions!F5</f>
        <v>2279.116</v>
      </c>
      <c r="G3" s="11">
        <f>Assumptions!G5</f>
        <v>3190.7623999999996</v>
      </c>
      <c r="H3" s="11">
        <f>Assumptions!H5</f>
        <v>4467.0673599999991</v>
      </c>
      <c r="I3" s="54"/>
      <c r="J3" s="54"/>
      <c r="K3" s="54"/>
    </row>
    <row r="4" spans="1:11" x14ac:dyDescent="0.3">
      <c r="A4" s="12" t="s">
        <v>16</v>
      </c>
      <c r="B4" s="13">
        <v>4</v>
      </c>
      <c r="C4" s="13">
        <v>10.09</v>
      </c>
      <c r="D4" s="13">
        <v>7.22</v>
      </c>
      <c r="E4" s="13">
        <v>5.47</v>
      </c>
      <c r="F4" s="14">
        <f>Assumptions!F9</f>
        <v>5.47</v>
      </c>
      <c r="G4" s="14">
        <f>Assumptions!G9</f>
        <v>5.47</v>
      </c>
      <c r="H4" s="14">
        <f>Assumptions!H9</f>
        <v>5.47</v>
      </c>
    </row>
    <row r="5" spans="1:11" x14ac:dyDescent="0.3">
      <c r="A5" s="9" t="s">
        <v>17</v>
      </c>
      <c r="B5" s="10">
        <f>B3+B4</f>
        <v>211.18</v>
      </c>
      <c r="C5" s="10">
        <f t="shared" ref="C5:E5" si="0">SUM(C3:C4)</f>
        <v>295.06</v>
      </c>
      <c r="D5" s="10">
        <f t="shared" si="0"/>
        <v>1114.6500000000001</v>
      </c>
      <c r="E5" s="10">
        <f t="shared" si="0"/>
        <v>1633.41</v>
      </c>
      <c r="F5" s="15">
        <f>F3+F4</f>
        <v>2284.5859999999998</v>
      </c>
      <c r="G5" s="15">
        <f>G3+G4</f>
        <v>3196.2323999999994</v>
      </c>
      <c r="H5" s="15">
        <f>H3+H4</f>
        <v>4472.5373599999994</v>
      </c>
    </row>
    <row r="7" spans="1:11" x14ac:dyDescent="0.3">
      <c r="A7" s="12" t="s">
        <v>18</v>
      </c>
      <c r="B7" s="13">
        <f>173.47-8.9</f>
        <v>164.57</v>
      </c>
      <c r="C7" s="13">
        <f>207.06+0.4</f>
        <v>207.46</v>
      </c>
      <c r="D7" s="13">
        <f>920.04-25.63</f>
        <v>894.41</v>
      </c>
      <c r="E7" s="13">
        <v>1329.5</v>
      </c>
      <c r="F7" s="14">
        <f>Assumptions!F14</f>
        <v>1920.4499999999998</v>
      </c>
      <c r="G7" s="14">
        <f>Assumptions!G14</f>
        <v>2688.6299999999992</v>
      </c>
      <c r="H7" s="14">
        <f>Assumptions!H14</f>
        <v>3764.081999999999</v>
      </c>
    </row>
    <row r="8" spans="1:11" x14ac:dyDescent="0.3">
      <c r="A8" s="12" t="s">
        <v>19</v>
      </c>
      <c r="B8" s="13">
        <v>21.28</v>
      </c>
      <c r="C8" s="13">
        <v>28.91</v>
      </c>
      <c r="D8" s="13">
        <v>47.28</v>
      </c>
      <c r="E8" s="13">
        <v>59.01</v>
      </c>
      <c r="F8" s="14">
        <f>Assumptions!F12</f>
        <v>82.614000000000004</v>
      </c>
      <c r="G8" s="14">
        <f>Assumptions!G12</f>
        <v>115.65959999999998</v>
      </c>
      <c r="H8" s="14">
        <f>Assumptions!H12</f>
        <v>161.92343999999997</v>
      </c>
    </row>
    <row r="9" spans="1:11" x14ac:dyDescent="0.3">
      <c r="A9" s="12" t="s">
        <v>20</v>
      </c>
      <c r="B9" s="13">
        <v>8.4700000000000006</v>
      </c>
      <c r="C9" s="13">
        <v>9.2899999999999991</v>
      </c>
      <c r="D9" s="13">
        <v>16.649999999999999</v>
      </c>
      <c r="E9" s="13">
        <v>10.9</v>
      </c>
      <c r="F9" s="14">
        <f>Assumptions!F19</f>
        <v>13.640077019805091</v>
      </c>
      <c r="G9" s="14">
        <f>Assumptions!G19</f>
        <v>17.554139893115369</v>
      </c>
      <c r="H9" s="14">
        <f>Assumptions!H19</f>
        <v>23.033827915749761</v>
      </c>
    </row>
    <row r="10" spans="1:11" x14ac:dyDescent="0.3">
      <c r="A10" s="12" t="s">
        <v>21</v>
      </c>
      <c r="B10" s="13">
        <v>0.94</v>
      </c>
      <c r="C10" s="13">
        <v>0.7</v>
      </c>
      <c r="D10" s="13">
        <v>1.21</v>
      </c>
      <c r="E10" s="13">
        <v>1.1399999999999999</v>
      </c>
      <c r="F10" s="14">
        <f>Assumptions!F16</f>
        <v>1.5959999999999996</v>
      </c>
      <c r="G10" s="14">
        <f>Assumptions!G16</f>
        <v>2.2343999999999995</v>
      </c>
      <c r="H10" s="14">
        <f>Assumptions!H16</f>
        <v>3.1281599999999989</v>
      </c>
    </row>
    <row r="11" spans="1:11" x14ac:dyDescent="0.3">
      <c r="A11" s="12" t="s">
        <v>22</v>
      </c>
      <c r="B11" s="13">
        <v>7.22</v>
      </c>
      <c r="C11" s="13">
        <v>14.53</v>
      </c>
      <c r="D11" s="13">
        <v>32</v>
      </c>
      <c r="E11" s="13">
        <v>42.25</v>
      </c>
      <c r="F11" s="14">
        <f>Assumptions!F13</f>
        <v>59.15</v>
      </c>
      <c r="G11" s="14">
        <f>Assumptions!G13</f>
        <v>82.809999999999988</v>
      </c>
      <c r="H11" s="14">
        <f>Assumptions!H13</f>
        <v>115.93399999999998</v>
      </c>
    </row>
    <row r="12" spans="1:11" x14ac:dyDescent="0.3">
      <c r="A12" s="3" t="s">
        <v>23</v>
      </c>
      <c r="B12" s="6">
        <f t="shared" ref="B12:H12" si="1">SUM(B7:B11)</f>
        <v>202.48</v>
      </c>
      <c r="C12" s="6">
        <f t="shared" si="1"/>
        <v>260.89</v>
      </c>
      <c r="D12" s="6">
        <f t="shared" si="1"/>
        <v>991.55</v>
      </c>
      <c r="E12" s="6">
        <f t="shared" si="1"/>
        <v>1442.8000000000002</v>
      </c>
      <c r="F12" s="5">
        <f t="shared" si="1"/>
        <v>2077.4500770198051</v>
      </c>
      <c r="G12" s="5">
        <f t="shared" si="1"/>
        <v>2906.8881398931144</v>
      </c>
      <c r="H12" s="5">
        <f t="shared" si="1"/>
        <v>4068.1014279157494</v>
      </c>
    </row>
    <row r="14" spans="1:11" x14ac:dyDescent="0.3">
      <c r="A14" s="9" t="s">
        <v>24</v>
      </c>
      <c r="B14" s="15">
        <f t="shared" ref="B14:H14" si="2">B3-B7-B8-B11</f>
        <v>14.110000000000014</v>
      </c>
      <c r="C14" s="15">
        <f t="shared" si="2"/>
        <v>34.070000000000022</v>
      </c>
      <c r="D14" s="15">
        <f t="shared" si="2"/>
        <v>133.74000000000009</v>
      </c>
      <c r="E14" s="15">
        <f t="shared" si="2"/>
        <v>197.18000000000006</v>
      </c>
      <c r="F14" s="15">
        <f t="shared" si="2"/>
        <v>216.90200000000013</v>
      </c>
      <c r="G14" s="15">
        <f t="shared" si="2"/>
        <v>303.66280000000046</v>
      </c>
      <c r="H14" s="15">
        <f t="shared" si="2"/>
        <v>425.12792000000013</v>
      </c>
    </row>
    <row r="15" spans="1:11" x14ac:dyDescent="0.3">
      <c r="A15" s="12" t="s">
        <v>25</v>
      </c>
      <c r="B15" s="16">
        <f t="shared" ref="B15:H15" si="3">IFERROR(B14/B3,0)</f>
        <v>6.8105029442996498E-2</v>
      </c>
      <c r="C15" s="16">
        <f t="shared" si="3"/>
        <v>0.11955644453802161</v>
      </c>
      <c r="D15" s="16">
        <f t="shared" si="3"/>
        <v>0.12076609808294889</v>
      </c>
      <c r="E15" s="16">
        <f t="shared" si="3"/>
        <v>0.12112240008845539</v>
      </c>
      <c r="F15" s="16">
        <f t="shared" si="3"/>
        <v>9.516935513593873E-2</v>
      </c>
      <c r="G15" s="16">
        <f t="shared" si="3"/>
        <v>9.5169355135938827E-2</v>
      </c>
      <c r="H15" s="16">
        <f t="shared" si="3"/>
        <v>9.5169355135938716E-2</v>
      </c>
    </row>
    <row r="17" spans="1:8" x14ac:dyDescent="0.3">
      <c r="A17" s="3" t="s">
        <v>26</v>
      </c>
      <c r="B17" s="5">
        <f t="shared" ref="B17:H17" si="4">B14-B10</f>
        <v>13.170000000000014</v>
      </c>
      <c r="C17" s="5">
        <f t="shared" si="4"/>
        <v>33.370000000000019</v>
      </c>
      <c r="D17" s="5">
        <f t="shared" si="4"/>
        <v>132.53000000000009</v>
      </c>
      <c r="E17" s="5">
        <f t="shared" si="4"/>
        <v>196.04000000000008</v>
      </c>
      <c r="F17" s="5">
        <f t="shared" si="4"/>
        <v>215.30600000000013</v>
      </c>
      <c r="G17" s="5">
        <f t="shared" si="4"/>
        <v>301.42840000000047</v>
      </c>
      <c r="H17" s="5">
        <f t="shared" si="4"/>
        <v>421.99976000000015</v>
      </c>
    </row>
    <row r="18" spans="1:8" x14ac:dyDescent="0.3">
      <c r="A18" s="3" t="s">
        <v>27</v>
      </c>
      <c r="B18" s="6">
        <f>B17-B9</f>
        <v>4.7000000000000135</v>
      </c>
      <c r="C18" s="6">
        <f t="shared" ref="C18:E18" si="5">C17-C9</f>
        <v>24.08000000000002</v>
      </c>
      <c r="D18" s="6">
        <f t="shared" si="5"/>
        <v>115.88000000000008</v>
      </c>
      <c r="E18" s="6">
        <f t="shared" si="5"/>
        <v>185.14000000000007</v>
      </c>
      <c r="F18" s="5">
        <f>F17-F9</f>
        <v>201.66592298019503</v>
      </c>
      <c r="G18" s="5">
        <f t="shared" ref="G18:H18" si="6">G17-G9</f>
        <v>283.87426010688512</v>
      </c>
      <c r="H18" s="5">
        <f t="shared" si="6"/>
        <v>398.96593208425037</v>
      </c>
    </row>
    <row r="19" spans="1:8" x14ac:dyDescent="0.3">
      <c r="A19" s="12" t="s">
        <v>28</v>
      </c>
      <c r="B19" s="13">
        <v>0</v>
      </c>
      <c r="C19" s="13">
        <v>0</v>
      </c>
      <c r="D19" s="13">
        <v>0</v>
      </c>
      <c r="E19" s="13">
        <v>0.64</v>
      </c>
      <c r="F19" s="13">
        <v>0</v>
      </c>
      <c r="G19" s="13">
        <v>0</v>
      </c>
      <c r="H19" s="13">
        <v>0</v>
      </c>
    </row>
    <row r="20" spans="1:8" x14ac:dyDescent="0.3">
      <c r="A20" s="3" t="s">
        <v>29</v>
      </c>
      <c r="B20" s="6">
        <f t="shared" ref="B20:H20" si="7">B18+B19+B4</f>
        <v>8.7000000000000135</v>
      </c>
      <c r="C20" s="6">
        <f t="shared" si="7"/>
        <v>34.170000000000016</v>
      </c>
      <c r="D20" s="6">
        <f t="shared" si="7"/>
        <v>123.10000000000008</v>
      </c>
      <c r="E20" s="6">
        <f t="shared" si="7"/>
        <v>191.25000000000006</v>
      </c>
      <c r="F20" s="5">
        <f t="shared" si="7"/>
        <v>207.13592298019503</v>
      </c>
      <c r="G20" s="5">
        <f t="shared" si="7"/>
        <v>289.34426010688514</v>
      </c>
      <c r="H20" s="5">
        <f t="shared" si="7"/>
        <v>404.4359320842504</v>
      </c>
    </row>
    <row r="21" spans="1:8" x14ac:dyDescent="0.3">
      <c r="A21" s="12" t="s">
        <v>30</v>
      </c>
      <c r="B21" s="13">
        <v>1.89</v>
      </c>
      <c r="C21" s="13">
        <v>8.0500000000000007</v>
      </c>
      <c r="D21" s="13">
        <v>29.75</v>
      </c>
      <c r="E21" s="13">
        <v>52.44</v>
      </c>
      <c r="F21" s="17">
        <f>F20*Assumptions!$B$22</f>
        <v>52.136111814115083</v>
      </c>
      <c r="G21" s="17">
        <f>G20*Assumptions!$B$22</f>
        <v>72.827950268902981</v>
      </c>
      <c r="H21" s="17">
        <f>H20*Assumptions!$B$22</f>
        <v>101.79652410560581</v>
      </c>
    </row>
    <row r="22" spans="1:8" x14ac:dyDescent="0.3">
      <c r="A22" s="12" t="s">
        <v>31</v>
      </c>
      <c r="B22" s="16">
        <f t="shared" ref="B22:H22" si="8">IFERROR(B21/B20,0)</f>
        <v>0.21724137931034448</v>
      </c>
      <c r="C22" s="16">
        <f t="shared" si="8"/>
        <v>0.23558677202224165</v>
      </c>
      <c r="D22" s="16">
        <f t="shared" si="8"/>
        <v>0.24167343623070658</v>
      </c>
      <c r="E22" s="16">
        <f t="shared" si="8"/>
        <v>0.27419607843137245</v>
      </c>
      <c r="F22" s="16">
        <f t="shared" si="8"/>
        <v>0.25169999999999998</v>
      </c>
      <c r="G22" s="16">
        <f t="shared" si="8"/>
        <v>0.25169999999999998</v>
      </c>
      <c r="H22" s="16">
        <f t="shared" si="8"/>
        <v>0.25169999999999998</v>
      </c>
    </row>
    <row r="24" spans="1:8" x14ac:dyDescent="0.3">
      <c r="A24" s="9" t="s">
        <v>32</v>
      </c>
      <c r="B24" s="10">
        <f>B20-B21</f>
        <v>6.8100000000000138</v>
      </c>
      <c r="C24" s="10">
        <f t="shared" ref="C24:E24" si="9">C20-C21</f>
        <v>26.120000000000015</v>
      </c>
      <c r="D24" s="10">
        <f t="shared" si="9"/>
        <v>93.35000000000008</v>
      </c>
      <c r="E24" s="10">
        <f t="shared" si="9"/>
        <v>138.81000000000006</v>
      </c>
      <c r="F24" s="15">
        <f>F20-F21</f>
        <v>154.99981116607995</v>
      </c>
      <c r="G24" s="15">
        <f>G20-G21</f>
        <v>216.51630983798216</v>
      </c>
      <c r="H24" s="15">
        <f>H20-H21</f>
        <v>302.63940797864461</v>
      </c>
    </row>
    <row r="25" spans="1:8" x14ac:dyDescent="0.3">
      <c r="A25" s="12" t="s">
        <v>33</v>
      </c>
      <c r="B25" s="16">
        <f t="shared" ref="B25:H25" si="10">IFERROR(B24/B3,0)</f>
        <v>3.2869968143643277E-2</v>
      </c>
      <c r="C25" s="16">
        <f t="shared" si="10"/>
        <v>9.1658771098712191E-2</v>
      </c>
      <c r="D25" s="16">
        <f t="shared" si="10"/>
        <v>8.4294266906260504E-2</v>
      </c>
      <c r="E25" s="16">
        <f t="shared" si="10"/>
        <v>8.5267270292516961E-2</v>
      </c>
      <c r="F25" s="16">
        <f t="shared" si="10"/>
        <v>6.8008741620031607E-2</v>
      </c>
      <c r="G25" s="16">
        <f t="shared" si="10"/>
        <v>6.7857233693734822E-2</v>
      </c>
      <c r="H25" s="16">
        <f t="shared" si="10"/>
        <v>6.774901374637983E-2</v>
      </c>
    </row>
    <row r="26" spans="1:8" x14ac:dyDescent="0.3">
      <c r="A26" s="12" t="s">
        <v>34</v>
      </c>
      <c r="B26" s="13">
        <v>4.4000000000000004</v>
      </c>
      <c r="C26" s="13">
        <v>17.100000000000001</v>
      </c>
      <c r="D26" s="13">
        <v>57.74</v>
      </c>
      <c r="E26" s="13">
        <v>79.19</v>
      </c>
      <c r="F26" s="17">
        <f>F24/Assumptions!$B$25</f>
        <v>86.077531607752519</v>
      </c>
      <c r="G26" s="17">
        <f>G24/Assumptions!$B$25</f>
        <v>120.24007876824689</v>
      </c>
      <c r="H26" s="17">
        <f>H24/Assumptions!$B$25</f>
        <v>168.06764479293864</v>
      </c>
    </row>
    <row r="28" spans="1:8" x14ac:dyDescent="0.3">
      <c r="A28" s="75" t="s">
        <v>35</v>
      </c>
      <c r="B28" s="75"/>
      <c r="C28" s="75"/>
      <c r="D28" s="75"/>
      <c r="E28" s="75"/>
      <c r="F28" s="75"/>
      <c r="G28" s="75"/>
      <c r="H28" s="75"/>
    </row>
    <row r="29" spans="1:8" ht="34.5" customHeight="1" x14ac:dyDescent="0.3">
      <c r="A29" s="1" t="s">
        <v>7</v>
      </c>
      <c r="B29" s="8" t="s">
        <v>8</v>
      </c>
      <c r="C29" s="8" t="s">
        <v>9</v>
      </c>
      <c r="D29" s="8" t="s">
        <v>10</v>
      </c>
      <c r="E29" s="8" t="s">
        <v>11</v>
      </c>
      <c r="F29" s="8" t="s">
        <v>12</v>
      </c>
      <c r="G29" s="8" t="s">
        <v>13</v>
      </c>
      <c r="H29" s="8" t="s">
        <v>14</v>
      </c>
    </row>
    <row r="30" spans="1:8" x14ac:dyDescent="0.3">
      <c r="A30" s="1" t="s">
        <v>36</v>
      </c>
      <c r="B30" s="18"/>
      <c r="C30" s="18"/>
      <c r="D30" s="18"/>
      <c r="E30" s="18"/>
      <c r="F30" s="18"/>
      <c r="G30" s="18"/>
      <c r="H30" s="18"/>
    </row>
    <row r="31" spans="1:8" x14ac:dyDescent="0.3">
      <c r="A31" s="12" t="s">
        <v>37</v>
      </c>
      <c r="B31" s="13">
        <v>19.010000000000002</v>
      </c>
      <c r="C31" s="13">
        <v>19.829999999999998</v>
      </c>
      <c r="D31" s="13">
        <v>18.3</v>
      </c>
      <c r="E31" s="13">
        <v>19.260000000000002</v>
      </c>
      <c r="F31" s="17">
        <f>E31+Assumptions!F17-Assumptions!F16</f>
        <v>20.626850800000003</v>
      </c>
      <c r="G31" s="17">
        <f>F31+Assumptions!G17-Assumptions!G16</f>
        <v>22.540441920000003</v>
      </c>
      <c r="H31" s="17">
        <f>G31+Assumptions!H17-Assumptions!H16</f>
        <v>25.219469488000005</v>
      </c>
    </row>
    <row r="32" spans="1:8" x14ac:dyDescent="0.3">
      <c r="A32" s="12" t="s">
        <v>38</v>
      </c>
      <c r="B32" s="13">
        <v>1.38</v>
      </c>
      <c r="C32" s="13">
        <v>6.35</v>
      </c>
      <c r="D32" s="13">
        <v>188.81</v>
      </c>
      <c r="E32" s="13">
        <v>343.54</v>
      </c>
      <c r="F32" s="17">
        <f>E32+Assumptions!F43</f>
        <v>343.54</v>
      </c>
      <c r="G32" s="17">
        <f>F32+Assumptions!G43</f>
        <v>343.54</v>
      </c>
      <c r="H32" s="17">
        <f>G32+Assumptions!H43</f>
        <v>343.54</v>
      </c>
    </row>
    <row r="33" spans="1:8" x14ac:dyDescent="0.3">
      <c r="A33" s="9" t="s">
        <v>39</v>
      </c>
      <c r="B33" s="10">
        <f>SUM(B31:B32)</f>
        <v>20.39</v>
      </c>
      <c r="C33" s="10">
        <f t="shared" ref="C33:E33" si="11">SUM(C31:C32)</f>
        <v>26.18</v>
      </c>
      <c r="D33" s="10">
        <f t="shared" si="11"/>
        <v>207.11</v>
      </c>
      <c r="E33" s="10">
        <f t="shared" si="11"/>
        <v>362.8</v>
      </c>
      <c r="F33" s="15">
        <f>SUM(F31:F32)</f>
        <v>364.16685080000002</v>
      </c>
      <c r="G33" s="15">
        <f t="shared" ref="G33:H33" si="12">SUM(G31:G32)</f>
        <v>366.08044192</v>
      </c>
      <c r="H33" s="15">
        <f t="shared" si="12"/>
        <v>368.75946948800004</v>
      </c>
    </row>
    <row r="35" spans="1:8" x14ac:dyDescent="0.3">
      <c r="A35" s="12" t="s">
        <v>40</v>
      </c>
      <c r="B35" s="13">
        <v>36.86</v>
      </c>
      <c r="C35" s="13">
        <v>36.450000000000003</v>
      </c>
      <c r="D35" s="13">
        <v>62.85</v>
      </c>
      <c r="E35" s="13">
        <v>124.95</v>
      </c>
      <c r="F35" s="17">
        <f>Assumptions!F14*Assumptions!$B$32/365</f>
        <v>147.3221917808219</v>
      </c>
      <c r="G35" s="17">
        <f>Assumptions!G14*Assumptions!$B$32/365</f>
        <v>206.25106849315065</v>
      </c>
      <c r="H35" s="17">
        <f>Assumptions!H14*Assumptions!$B$32/365</f>
        <v>288.75149589041087</v>
      </c>
    </row>
    <row r="36" spans="1:8" x14ac:dyDescent="0.3">
      <c r="A36" s="12" t="s">
        <v>41</v>
      </c>
      <c r="B36" s="13">
        <v>76.260000000000005</v>
      </c>
      <c r="C36" s="13">
        <v>114.04</v>
      </c>
      <c r="D36" s="13">
        <v>181.71</v>
      </c>
      <c r="E36" s="13">
        <v>348.77</v>
      </c>
      <c r="F36" s="17">
        <f>Financials!F3*Assumptions!$B$31/365</f>
        <v>374.64920547945201</v>
      </c>
      <c r="G36" s="17">
        <f>Financials!G3*Assumptions!$B$31/365</f>
        <v>524.50888767123286</v>
      </c>
      <c r="H36" s="17">
        <f>Financials!H3*Assumptions!$B$31/365</f>
        <v>734.31244273972584</v>
      </c>
    </row>
    <row r="37" spans="1:8" x14ac:dyDescent="0.3">
      <c r="A37" s="12" t="s">
        <v>42</v>
      </c>
      <c r="B37" s="13">
        <v>0.24</v>
      </c>
      <c r="C37" s="13">
        <v>0.17</v>
      </c>
      <c r="D37" s="13">
        <v>49.04</v>
      </c>
      <c r="E37" s="13">
        <v>65.45</v>
      </c>
      <c r="F37" s="14">
        <f>Assumptions!F37</f>
        <v>151.81705414010935</v>
      </c>
      <c r="G37" s="14">
        <f>Assumptions!G37</f>
        <v>402.91862183069395</v>
      </c>
      <c r="H37" s="14">
        <f>Assumptions!H37</f>
        <v>747.3438695529826</v>
      </c>
    </row>
    <row r="38" spans="1:8" x14ac:dyDescent="0.3">
      <c r="A38" s="12" t="s">
        <v>43</v>
      </c>
      <c r="B38" s="13">
        <v>60.27</v>
      </c>
      <c r="C38" s="13">
        <v>63.55</v>
      </c>
      <c r="D38" s="13">
        <v>56.26</v>
      </c>
      <c r="E38" s="13">
        <v>40.46</v>
      </c>
      <c r="F38" s="17">
        <f>Financials!F3*0.025</f>
        <v>56.977900000000005</v>
      </c>
      <c r="G38" s="17">
        <f>Financials!G3*0.025</f>
        <v>79.769059999999996</v>
      </c>
      <c r="H38" s="17">
        <f>Financials!H3*0.025</f>
        <v>111.67668399999998</v>
      </c>
    </row>
    <row r="39" spans="1:8" x14ac:dyDescent="0.3">
      <c r="A39" s="9" t="s">
        <v>44</v>
      </c>
      <c r="B39" s="10">
        <f>SUM(B35:B38)</f>
        <v>173.63</v>
      </c>
      <c r="C39" s="10">
        <f t="shared" ref="C39:E39" si="13">SUM(C35:C38)</f>
        <v>214.20999999999998</v>
      </c>
      <c r="D39" s="10">
        <f t="shared" si="13"/>
        <v>349.86</v>
      </c>
      <c r="E39" s="10">
        <f t="shared" si="13"/>
        <v>579.63</v>
      </c>
      <c r="F39" s="15">
        <f>SUM(F35:F38)</f>
        <v>730.7663514003832</v>
      </c>
      <c r="G39" s="15">
        <f t="shared" ref="G39:H39" si="14">SUM(G35:G38)</f>
        <v>1213.4476379950775</v>
      </c>
      <c r="H39" s="15">
        <f t="shared" si="14"/>
        <v>1882.0844921831194</v>
      </c>
    </row>
    <row r="40" spans="1:8" x14ac:dyDescent="0.3">
      <c r="A40" s="9" t="s">
        <v>45</v>
      </c>
      <c r="B40" s="10">
        <f>B33+B39</f>
        <v>194.01999999999998</v>
      </c>
      <c r="C40" s="10">
        <f t="shared" ref="C40:E40" si="15">C33+C39</f>
        <v>240.39</v>
      </c>
      <c r="D40" s="10">
        <f t="shared" si="15"/>
        <v>556.97</v>
      </c>
      <c r="E40" s="10">
        <f t="shared" si="15"/>
        <v>942.43000000000006</v>
      </c>
      <c r="F40" s="15">
        <f>F33+F39</f>
        <v>1094.9332022003832</v>
      </c>
      <c r="G40" s="15">
        <f t="shared" ref="G40:H40" si="16">G33+G39</f>
        <v>1579.5280799150773</v>
      </c>
      <c r="H40" s="15">
        <f t="shared" si="16"/>
        <v>2250.8439616711194</v>
      </c>
    </row>
    <row r="42" spans="1:8" x14ac:dyDescent="0.3">
      <c r="A42" s="1" t="s">
        <v>46</v>
      </c>
      <c r="B42" s="18"/>
      <c r="C42" s="18"/>
      <c r="D42" s="18"/>
      <c r="E42" s="18"/>
      <c r="F42" s="18"/>
      <c r="G42" s="18"/>
      <c r="H42" s="18"/>
    </row>
    <row r="43" spans="1:8" x14ac:dyDescent="0.3">
      <c r="A43" s="12" t="s">
        <v>47</v>
      </c>
      <c r="B43" s="13">
        <v>15.22</v>
      </c>
      <c r="C43" s="13">
        <v>15.22</v>
      </c>
      <c r="D43" s="13">
        <v>18.010000000000002</v>
      </c>
      <c r="E43" s="13">
        <v>18.010000000000002</v>
      </c>
      <c r="F43" s="13">
        <v>18.010000000000002</v>
      </c>
      <c r="G43" s="13">
        <v>18.010000000000002</v>
      </c>
      <c r="H43" s="13">
        <v>18.010000000000002</v>
      </c>
    </row>
    <row r="44" spans="1:8" x14ac:dyDescent="0.3">
      <c r="A44" s="12" t="s">
        <v>48</v>
      </c>
      <c r="B44" s="13">
        <v>43.45</v>
      </c>
      <c r="C44" s="13">
        <v>69.08</v>
      </c>
      <c r="D44" s="13">
        <v>246.87</v>
      </c>
      <c r="E44" s="13">
        <v>388.16</v>
      </c>
      <c r="F44" s="17">
        <f>E44+Financials!F24-Assumptions!$B$23</f>
        <v>541.35981116608002</v>
      </c>
      <c r="G44" s="17">
        <f>F44+Financials!G24-Assumptions!$B$23</f>
        <v>756.0761210040622</v>
      </c>
      <c r="H44" s="17">
        <f>G44+Financials!H24-Assumptions!$B$23</f>
        <v>1056.915528982707</v>
      </c>
    </row>
    <row r="45" spans="1:8" x14ac:dyDescent="0.3">
      <c r="A45" s="9" t="s">
        <v>49</v>
      </c>
      <c r="B45" s="10">
        <f>SUM(B43:B44)</f>
        <v>58.67</v>
      </c>
      <c r="C45" s="10">
        <f t="shared" ref="C45:E45" si="17">SUM(C43:C44)</f>
        <v>84.3</v>
      </c>
      <c r="D45" s="10">
        <f t="shared" si="17"/>
        <v>264.88</v>
      </c>
      <c r="E45" s="10">
        <f t="shared" si="17"/>
        <v>406.17</v>
      </c>
      <c r="F45" s="15">
        <f>SUM(F43:F44)</f>
        <v>559.36981116608001</v>
      </c>
      <c r="G45" s="15">
        <f t="shared" ref="G45:H45" si="18">SUM(G43:G44)</f>
        <v>774.08612100406219</v>
      </c>
      <c r="H45" s="15">
        <f t="shared" si="18"/>
        <v>1074.925528982707</v>
      </c>
    </row>
    <row r="47" spans="1:8" x14ac:dyDescent="0.3">
      <c r="A47" s="12" t="s">
        <v>50</v>
      </c>
      <c r="B47" s="13">
        <v>39.200000000000003</v>
      </c>
      <c r="C47" s="13">
        <v>47.07</v>
      </c>
      <c r="D47" s="13">
        <v>48.96</v>
      </c>
      <c r="E47" s="13">
        <v>45.65</v>
      </c>
      <c r="F47" s="13">
        <v>45</v>
      </c>
      <c r="G47" s="13">
        <v>45</v>
      </c>
      <c r="H47" s="13">
        <v>45</v>
      </c>
    </row>
    <row r="48" spans="1:8" x14ac:dyDescent="0.3">
      <c r="A48" s="12" t="s">
        <v>51</v>
      </c>
      <c r="B48" s="13">
        <v>5.15</v>
      </c>
      <c r="C48" s="13">
        <v>6.6</v>
      </c>
      <c r="D48" s="13">
        <v>8.01</v>
      </c>
      <c r="E48" s="13">
        <v>9.82</v>
      </c>
      <c r="F48" s="17">
        <f>E48*1.05</f>
        <v>10.311</v>
      </c>
      <c r="G48" s="17">
        <f>F48*1.05</f>
        <v>10.826550000000001</v>
      </c>
      <c r="H48" s="17">
        <f>G48*1.05</f>
        <v>11.367877500000002</v>
      </c>
    </row>
    <row r="49" spans="1:9" x14ac:dyDescent="0.3">
      <c r="A49" s="3" t="s">
        <v>52</v>
      </c>
      <c r="B49" s="6">
        <f>SUM(B47:B48)</f>
        <v>44.35</v>
      </c>
      <c r="C49" s="6">
        <f t="shared" ref="C49:E49" si="19">SUM(C47:C48)</f>
        <v>53.67</v>
      </c>
      <c r="D49" s="6">
        <f t="shared" si="19"/>
        <v>56.97</v>
      </c>
      <c r="E49" s="6">
        <f t="shared" si="19"/>
        <v>55.47</v>
      </c>
      <c r="F49" s="5">
        <f>SUM(F47:F48)</f>
        <v>55.311</v>
      </c>
      <c r="G49" s="5">
        <f t="shared" ref="G49:H49" si="20">SUM(G47:G48)</f>
        <v>55.826549999999997</v>
      </c>
      <c r="H49" s="5">
        <f t="shared" si="20"/>
        <v>56.367877500000006</v>
      </c>
    </row>
    <row r="51" spans="1:9" x14ac:dyDescent="0.3">
      <c r="A51" s="12" t="s">
        <v>53</v>
      </c>
      <c r="B51" s="13">
        <v>15.94</v>
      </c>
      <c r="C51" s="13">
        <v>24.84</v>
      </c>
      <c r="D51" s="13">
        <v>28.9</v>
      </c>
      <c r="E51" s="13">
        <v>81.59</v>
      </c>
      <c r="F51" s="14">
        <f>Assumptions!F20</f>
        <v>114.22600000000001</v>
      </c>
      <c r="G51" s="14">
        <f>Assumptions!G20</f>
        <v>159.91639999999998</v>
      </c>
      <c r="H51" s="14">
        <f>Assumptions!H20</f>
        <v>223.88295999999997</v>
      </c>
    </row>
    <row r="52" spans="1:9" x14ac:dyDescent="0.3">
      <c r="A52" s="12" t="s">
        <v>54</v>
      </c>
      <c r="B52" s="13">
        <v>31.16</v>
      </c>
      <c r="C52" s="13">
        <v>31.44</v>
      </c>
      <c r="D52" s="13">
        <v>120.51</v>
      </c>
      <c r="E52" s="13">
        <v>328.32</v>
      </c>
      <c r="F52" s="17">
        <f>Assumptions!F14*Assumptions!$B$33/365</f>
        <v>447.22808219178074</v>
      </c>
      <c r="G52" s="17">
        <f>Assumptions!G14*Assumptions!$B$33/365</f>
        <v>626.11931506849294</v>
      </c>
      <c r="H52" s="17">
        <f>Assumptions!H14*Assumptions!$B$33/365</f>
        <v>876.5670410958902</v>
      </c>
    </row>
    <row r="53" spans="1:9" x14ac:dyDescent="0.3">
      <c r="A53" s="12" t="s">
        <v>55</v>
      </c>
      <c r="B53" s="13">
        <v>44</v>
      </c>
      <c r="C53" s="13">
        <v>46.14</v>
      </c>
      <c r="D53" s="13">
        <v>85.71</v>
      </c>
      <c r="E53" s="13">
        <v>71</v>
      </c>
      <c r="F53" s="17">
        <f>Financials!F3*0.04</f>
        <v>91.164640000000006</v>
      </c>
      <c r="G53" s="17">
        <f>Financials!G3*0.04</f>
        <v>127.63049599999999</v>
      </c>
      <c r="H53" s="17">
        <f>Financials!H3*0.04</f>
        <v>178.68269439999997</v>
      </c>
    </row>
    <row r="54" spans="1:9" x14ac:dyDescent="0.3">
      <c r="A54" s="3" t="s">
        <v>56</v>
      </c>
      <c r="B54" s="6">
        <f>SUM(B51:B53)</f>
        <v>91.1</v>
      </c>
      <c r="C54" s="6">
        <f t="shared" ref="C54:E54" si="21">SUM(C51:C53)</f>
        <v>102.42</v>
      </c>
      <c r="D54" s="6">
        <f t="shared" si="21"/>
        <v>235.12</v>
      </c>
      <c r="E54" s="6">
        <f t="shared" si="21"/>
        <v>480.90999999999997</v>
      </c>
      <c r="F54" s="5">
        <f>SUM(F51:F53)</f>
        <v>652.61872219178076</v>
      </c>
      <c r="G54" s="5">
        <f t="shared" ref="G54:H54" si="22">SUM(G51:G53)</f>
        <v>913.66621106849288</v>
      </c>
      <c r="H54" s="5">
        <f t="shared" si="22"/>
        <v>1279.1326954958902</v>
      </c>
    </row>
    <row r="55" spans="1:9" x14ac:dyDescent="0.3">
      <c r="A55" s="9" t="s">
        <v>57</v>
      </c>
      <c r="B55" s="10">
        <f>B49+B54+B45</f>
        <v>194.12</v>
      </c>
      <c r="C55" s="10">
        <f t="shared" ref="C55:E55" si="23">C49+C54+C45</f>
        <v>240.39</v>
      </c>
      <c r="D55" s="10">
        <f t="shared" si="23"/>
        <v>556.97</v>
      </c>
      <c r="E55" s="10">
        <f t="shared" si="23"/>
        <v>942.55</v>
      </c>
      <c r="F55" s="15">
        <f>F54+F49+F45</f>
        <v>1267.2995333578608</v>
      </c>
      <c r="G55" s="15">
        <f t="shared" ref="G55:H55" si="24">G54+G49+G45</f>
        <v>1743.5788820725552</v>
      </c>
      <c r="H55" s="15">
        <f t="shared" si="24"/>
        <v>2410.4261019785972</v>
      </c>
    </row>
    <row r="57" spans="1:9" x14ac:dyDescent="0.3">
      <c r="A57" s="75" t="s">
        <v>58</v>
      </c>
      <c r="B57" s="75"/>
      <c r="C57" s="75"/>
      <c r="D57" s="75"/>
      <c r="E57" s="75"/>
      <c r="F57" s="75"/>
      <c r="G57" s="75"/>
      <c r="H57" s="75"/>
    </row>
    <row r="58" spans="1:9" ht="34.5" customHeight="1" x14ac:dyDescent="0.3">
      <c r="A58" s="1" t="s">
        <v>7</v>
      </c>
      <c r="B58" s="8" t="s">
        <v>10</v>
      </c>
      <c r="C58" s="8" t="s">
        <v>11</v>
      </c>
      <c r="D58" s="8" t="s">
        <v>12</v>
      </c>
      <c r="E58" s="8" t="s">
        <v>13</v>
      </c>
      <c r="F58" s="8" t="s">
        <v>14</v>
      </c>
    </row>
    <row r="59" spans="1:9" x14ac:dyDescent="0.3">
      <c r="A59" s="12" t="s">
        <v>230</v>
      </c>
      <c r="B59" s="13">
        <f>D18</f>
        <v>115.88000000000008</v>
      </c>
      <c r="C59" s="13">
        <f>E18</f>
        <v>185.14000000000007</v>
      </c>
      <c r="D59" s="14">
        <f>F18</f>
        <v>201.66592298019503</v>
      </c>
      <c r="E59" s="14">
        <f t="shared" ref="E59:F59" si="25">G18</f>
        <v>283.87426010688512</v>
      </c>
      <c r="F59" s="14">
        <f t="shared" si="25"/>
        <v>398.96593208425037</v>
      </c>
    </row>
    <row r="60" spans="1:9" x14ac:dyDescent="0.3">
      <c r="A60" s="12" t="s">
        <v>59</v>
      </c>
      <c r="B60" s="13">
        <f>D10</f>
        <v>1.21</v>
      </c>
      <c r="C60" s="13">
        <f>E10</f>
        <v>1.1399999999999999</v>
      </c>
      <c r="D60" s="14">
        <f>Assumptions!F16</f>
        <v>1.5959999999999996</v>
      </c>
      <c r="E60" s="14">
        <f>Assumptions!G16</f>
        <v>2.2343999999999995</v>
      </c>
      <c r="F60" s="14">
        <f>Assumptions!H16</f>
        <v>3.1281599999999989</v>
      </c>
    </row>
    <row r="61" spans="1:9" x14ac:dyDescent="0.3">
      <c r="A61" s="12" t="s">
        <v>60</v>
      </c>
      <c r="B61" s="13">
        <f>D9</f>
        <v>16.649999999999999</v>
      </c>
      <c r="C61" s="13">
        <f>E9</f>
        <v>10.9</v>
      </c>
      <c r="D61" s="14">
        <f>Assumptions!F19</f>
        <v>13.640077019805091</v>
      </c>
      <c r="E61" s="14">
        <f>Assumptions!G19</f>
        <v>17.554139893115369</v>
      </c>
      <c r="F61" s="14">
        <f>Assumptions!H19</f>
        <v>23.033827915749761</v>
      </c>
    </row>
    <row r="62" spans="1:9" x14ac:dyDescent="0.3">
      <c r="A62" s="12" t="s">
        <v>61</v>
      </c>
      <c r="B62" s="13">
        <v>19.79</v>
      </c>
      <c r="C62" s="13">
        <v>29.91</v>
      </c>
      <c r="D62" s="17">
        <f>C62*1.05</f>
        <v>31.4055</v>
      </c>
      <c r="E62" s="17">
        <f>D62*1.05</f>
        <v>32.975774999999999</v>
      </c>
      <c r="F62" s="17">
        <f>E62*1.05</f>
        <v>34.62456375</v>
      </c>
    </row>
    <row r="63" spans="1:9" x14ac:dyDescent="0.3">
      <c r="A63" s="12" t="s">
        <v>62</v>
      </c>
      <c r="B63" s="13">
        <v>-150.46</v>
      </c>
      <c r="C63" s="13">
        <v>-216.16</v>
      </c>
      <c r="D63" s="14">
        <f>Assumptions!F35</f>
        <v>-14.757287671232859</v>
      </c>
      <c r="E63" s="14">
        <f>Assumptions!G35</f>
        <v>-29.897326027397469</v>
      </c>
      <c r="F63" s="14">
        <f>Assumptions!H35</f>
        <v>-41.856256438355899</v>
      </c>
      <c r="I63" s="53"/>
    </row>
    <row r="64" spans="1:9" x14ac:dyDescent="0.3">
      <c r="A64" s="3" t="s">
        <v>232</v>
      </c>
      <c r="B64" s="6">
        <f>SUM(B59:B63)</f>
        <v>3.07000000000005</v>
      </c>
      <c r="C64" s="6">
        <f>SUM(C59:C63)</f>
        <v>10.930000000000064</v>
      </c>
      <c r="D64" s="52">
        <f>SUM(D59:D63)</f>
        <v>233.55021232876726</v>
      </c>
      <c r="E64" s="52">
        <f t="shared" ref="E64:F64" si="26">SUM(E59:E63)</f>
        <v>306.74124897260299</v>
      </c>
      <c r="F64" s="52">
        <f t="shared" si="26"/>
        <v>417.89622731164422</v>
      </c>
    </row>
    <row r="65" spans="1:6" x14ac:dyDescent="0.3">
      <c r="A65" s="12" t="s">
        <v>231</v>
      </c>
      <c r="B65" s="13">
        <f>-D21</f>
        <v>-29.75</v>
      </c>
      <c r="C65" s="13">
        <f>-E21</f>
        <v>-52.44</v>
      </c>
      <c r="D65" s="14">
        <f>-F21</f>
        <v>-52.136111814115083</v>
      </c>
      <c r="E65" s="14">
        <f>-G21</f>
        <v>-72.827950268902981</v>
      </c>
      <c r="F65" s="14">
        <f>-H21</f>
        <v>-101.79652410560581</v>
      </c>
    </row>
    <row r="66" spans="1:6" x14ac:dyDescent="0.3">
      <c r="A66" s="9" t="s">
        <v>63</v>
      </c>
      <c r="B66" s="10">
        <f>B64+B65</f>
        <v>-26.67999999999995</v>
      </c>
      <c r="C66" s="10">
        <f>C64+C65</f>
        <v>-41.509999999999934</v>
      </c>
      <c r="D66" s="15">
        <f>D64+D65</f>
        <v>181.41410051465218</v>
      </c>
      <c r="E66" s="15">
        <f t="shared" ref="E66:F66" si="27">E64+E65</f>
        <v>233.91329870370001</v>
      </c>
      <c r="F66" s="15">
        <f t="shared" si="27"/>
        <v>316.09970320603838</v>
      </c>
    </row>
    <row r="67" spans="1:6" x14ac:dyDescent="0.3">
      <c r="C67" s="51"/>
    </row>
    <row r="68" spans="1:6" x14ac:dyDescent="0.3">
      <c r="A68" s="12" t="s">
        <v>64</v>
      </c>
      <c r="B68" s="13">
        <v>-2.1</v>
      </c>
      <c r="C68" s="13">
        <v>-2.14</v>
      </c>
      <c r="D68" s="14">
        <f>-Assumptions!F17</f>
        <v>-2.9628508</v>
      </c>
      <c r="E68" s="14">
        <f>-Assumptions!G17</f>
        <v>-4.1479911199999995</v>
      </c>
      <c r="F68" s="14">
        <f>-Assumptions!H17</f>
        <v>-5.8071875679999989</v>
      </c>
    </row>
    <row r="69" spans="1:6" x14ac:dyDescent="0.3">
      <c r="A69" s="12" t="s">
        <v>65</v>
      </c>
      <c r="B69" s="13">
        <v>0</v>
      </c>
      <c r="C69" s="13">
        <v>0</v>
      </c>
      <c r="D69" s="14">
        <f>Assumptions!F44</f>
        <v>-121.55</v>
      </c>
      <c r="E69" s="14">
        <f>Assumptions!G44</f>
        <v>0</v>
      </c>
      <c r="F69" s="14">
        <f>Assumptions!H44</f>
        <v>0</v>
      </c>
    </row>
    <row r="70" spans="1:6" x14ac:dyDescent="0.3">
      <c r="A70" s="12" t="s">
        <v>66</v>
      </c>
      <c r="B70" s="13">
        <v>-19</v>
      </c>
      <c r="C70" s="13">
        <v>-14</v>
      </c>
      <c r="D70" s="13">
        <v>-5</v>
      </c>
      <c r="E70" s="13">
        <v>-5</v>
      </c>
      <c r="F70" s="13">
        <v>-5</v>
      </c>
    </row>
    <row r="71" spans="1:6" x14ac:dyDescent="0.3">
      <c r="A71" s="9" t="s">
        <v>67</v>
      </c>
      <c r="B71" s="10">
        <f>SUM(B68:B70)</f>
        <v>-21.1</v>
      </c>
      <c r="C71" s="10">
        <f>SUM(C68:C70)</f>
        <v>-16.14</v>
      </c>
      <c r="D71" s="15">
        <f>SUM(D68:D70)</f>
        <v>-129.5128508</v>
      </c>
      <c r="E71" s="15">
        <f t="shared" ref="E71:F71" si="28">SUM(E68:E70)</f>
        <v>-9.1479911200000004</v>
      </c>
      <c r="F71" s="15">
        <f t="shared" si="28"/>
        <v>-10.807187568</v>
      </c>
    </row>
    <row r="73" spans="1:6" x14ac:dyDescent="0.3">
      <c r="A73" s="12" t="s">
        <v>68</v>
      </c>
      <c r="B73" s="13">
        <f>6.05+12.54-21.15</f>
        <v>-2.5599999999999987</v>
      </c>
      <c r="C73" s="13">
        <f>53.44-4.07</f>
        <v>49.37</v>
      </c>
      <c r="D73" s="14">
        <f>Assumptions!F21</f>
        <v>114.17588144526212</v>
      </c>
      <c r="E73" s="14">
        <f>Assumptions!G21</f>
        <v>45.690399999999968</v>
      </c>
      <c r="F73" s="14">
        <f>Assumptions!H21</f>
        <v>63.966559999999987</v>
      </c>
    </row>
    <row r="74" spans="1:6" x14ac:dyDescent="0.3">
      <c r="A74" s="12" t="s">
        <v>69</v>
      </c>
      <c r="B74" s="13">
        <v>-0.76</v>
      </c>
      <c r="C74" s="13">
        <v>-1.8</v>
      </c>
      <c r="D74" s="17">
        <f>-Assumptions!$B$23</f>
        <v>-1.8</v>
      </c>
      <c r="E74" s="17">
        <f>-Assumptions!$B$23</f>
        <v>-1.8</v>
      </c>
      <c r="F74" s="17">
        <f>-Assumptions!$B$23</f>
        <v>-1.8</v>
      </c>
    </row>
    <row r="75" spans="1:6" x14ac:dyDescent="0.3">
      <c r="A75" s="12" t="s">
        <v>70</v>
      </c>
      <c r="B75" s="13">
        <v>-15.02</v>
      </c>
      <c r="C75" s="13">
        <v>-10.9</v>
      </c>
      <c r="D75" s="17">
        <f>-Assumptions!F19</f>
        <v>-13.640077019805091</v>
      </c>
      <c r="E75" s="17">
        <f>-Assumptions!G19</f>
        <v>-17.554139893115369</v>
      </c>
      <c r="F75" s="17">
        <f>-Assumptions!H19</f>
        <v>-23.033827915749761</v>
      </c>
    </row>
    <row r="76" spans="1:6" x14ac:dyDescent="0.3">
      <c r="A76" s="12" t="s">
        <v>233</v>
      </c>
      <c r="B76" s="13">
        <v>85.38</v>
      </c>
      <c r="C76" s="13">
        <v>0</v>
      </c>
      <c r="D76" s="17">
        <v>0</v>
      </c>
      <c r="E76" s="17">
        <v>0</v>
      </c>
      <c r="F76" s="17">
        <v>0</v>
      </c>
    </row>
    <row r="77" spans="1:6" x14ac:dyDescent="0.3">
      <c r="A77" s="9" t="s">
        <v>71</v>
      </c>
      <c r="B77" s="10">
        <f>SUM(B73:B76)</f>
        <v>67.039999999999992</v>
      </c>
      <c r="C77" s="10">
        <f>SUM(C73:C76)</f>
        <v>36.67</v>
      </c>
      <c r="D77" s="15">
        <f>SUM(D73:D76)</f>
        <v>98.735804425457033</v>
      </c>
      <c r="E77" s="15">
        <f t="shared" ref="E77:F77" si="29">SUM(E73:E76)</f>
        <v>26.336260106884602</v>
      </c>
      <c r="F77" s="15">
        <f t="shared" si="29"/>
        <v>39.132732084250229</v>
      </c>
    </row>
    <row r="79" spans="1:6" x14ac:dyDescent="0.3">
      <c r="A79" s="3" t="s">
        <v>72</v>
      </c>
      <c r="B79" s="6">
        <f>B66+B71+B77</f>
        <v>19.260000000000041</v>
      </c>
      <c r="C79" s="6">
        <f>C66+C71+C77</f>
        <v>-20.979999999999933</v>
      </c>
      <c r="D79" s="5">
        <f>D66+D71+D77</f>
        <v>150.63705414010923</v>
      </c>
      <c r="E79" s="5">
        <f>E66+E71+E77</f>
        <v>251.1015676905846</v>
      </c>
      <c r="F79" s="5">
        <f>F66+F71+F77</f>
        <v>344.42524772228859</v>
      </c>
    </row>
    <row r="80" spans="1:6" x14ac:dyDescent="0.3">
      <c r="A80" s="12" t="s">
        <v>73</v>
      </c>
      <c r="B80" s="13">
        <v>2.9</v>
      </c>
      <c r="C80" s="13">
        <f>B81</f>
        <v>22.160000000000039</v>
      </c>
      <c r="D80" s="17">
        <f>C81</f>
        <v>1.1800000000001063</v>
      </c>
      <c r="E80" s="17">
        <f>D81</f>
        <v>151.81705414010935</v>
      </c>
      <c r="F80" s="17">
        <f>E81</f>
        <v>402.91862183069395</v>
      </c>
    </row>
    <row r="81" spans="1:6" x14ac:dyDescent="0.3">
      <c r="A81" s="19" t="s">
        <v>74</v>
      </c>
      <c r="B81" s="20">
        <f>B80+B79</f>
        <v>22.160000000000039</v>
      </c>
      <c r="C81" s="20">
        <f>C80+C79</f>
        <v>1.1800000000001063</v>
      </c>
      <c r="D81" s="21">
        <f>D80+D79</f>
        <v>151.81705414010935</v>
      </c>
      <c r="E81" s="21">
        <f>E80+E79</f>
        <v>402.91862183069395</v>
      </c>
      <c r="F81" s="21">
        <f>F80+F79</f>
        <v>747.3438695529826</v>
      </c>
    </row>
    <row r="83" spans="1:6" ht="18" customHeight="1" x14ac:dyDescent="0.3"/>
  </sheetData>
  <mergeCells count="3">
    <mergeCell ref="A1:H1"/>
    <mergeCell ref="A28:H28"/>
    <mergeCell ref="A57:H5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J49"/>
  <sheetViews>
    <sheetView showGridLines="0" zoomScale="82" zoomScaleNormal="100" workbookViewId="0">
      <pane xSplit="2" ySplit="3" topLeftCell="D4" activePane="bottomRight" state="frozen"/>
      <selection pane="topRight" activeCell="C1" sqref="C1"/>
      <selection pane="bottomLeft" activeCell="A4" sqref="A4"/>
      <selection pane="bottomRight" activeCell="F4" sqref="F4"/>
    </sheetView>
  </sheetViews>
  <sheetFormatPr defaultColWidth="8.6640625" defaultRowHeight="14.4" x14ac:dyDescent="0.3"/>
  <cols>
    <col min="1" max="1" width="73.33203125" customWidth="1"/>
    <col min="2" max="2" width="18" customWidth="1"/>
    <col min="3" max="8" width="14" customWidth="1"/>
    <col min="9" max="9" width="40" style="55" customWidth="1"/>
  </cols>
  <sheetData>
    <row r="1" spans="1:9" x14ac:dyDescent="0.3">
      <c r="A1" s="75" t="s">
        <v>76</v>
      </c>
      <c r="B1" s="75"/>
      <c r="C1" s="75"/>
      <c r="D1" s="75"/>
      <c r="E1" s="75"/>
      <c r="F1" s="75"/>
      <c r="G1" s="75"/>
      <c r="H1" s="75"/>
      <c r="I1"/>
    </row>
    <row r="2" spans="1:9" ht="34.5" customHeight="1" x14ac:dyDescent="0.3">
      <c r="A2" s="1" t="s">
        <v>77</v>
      </c>
      <c r="B2" s="8" t="s">
        <v>78</v>
      </c>
      <c r="C2" s="8" t="s">
        <v>79</v>
      </c>
      <c r="D2" s="8" t="s">
        <v>80</v>
      </c>
      <c r="E2" s="8" t="s">
        <v>81</v>
      </c>
      <c r="F2" s="8" t="s">
        <v>12</v>
      </c>
      <c r="G2" s="8" t="s">
        <v>13</v>
      </c>
      <c r="H2" s="8" t="s">
        <v>14</v>
      </c>
      <c r="I2"/>
    </row>
    <row r="3" spans="1:9" x14ac:dyDescent="0.3">
      <c r="A3" s="76" t="s">
        <v>82</v>
      </c>
      <c r="B3" s="76"/>
      <c r="C3" s="76"/>
      <c r="D3" s="76"/>
      <c r="E3" s="76"/>
      <c r="F3" s="76"/>
      <c r="G3" s="76"/>
      <c r="H3" s="76"/>
      <c r="I3"/>
    </row>
    <row r="4" spans="1:9" ht="18" customHeight="1" x14ac:dyDescent="0.3">
      <c r="A4" s="3" t="s">
        <v>83</v>
      </c>
      <c r="B4" s="23">
        <f>Financials!E3/Financials!D3-1</f>
        <v>0.47001616354984055</v>
      </c>
      <c r="C4" s="23"/>
      <c r="D4" s="23">
        <f>Financials!C3/Financials!B3-1</f>
        <v>0.37547060527077902</v>
      </c>
      <c r="E4" s="23">
        <f>Financials!D3/Financials!C3-1</f>
        <v>2.8861283643892337</v>
      </c>
      <c r="F4" s="4">
        <v>0.4</v>
      </c>
      <c r="G4" s="4">
        <v>0.4</v>
      </c>
      <c r="H4" s="4">
        <v>0.4</v>
      </c>
    </row>
    <row r="5" spans="1:9" ht="18" customHeight="1" x14ac:dyDescent="0.3">
      <c r="A5" s="3" t="s">
        <v>84</v>
      </c>
      <c r="B5" s="20">
        <f>Financials!E3</f>
        <v>1627.94</v>
      </c>
      <c r="C5" s="13">
        <f>Financials!B3</f>
        <v>207.18</v>
      </c>
      <c r="D5" s="13">
        <f>Financials!C3</f>
        <v>284.97000000000003</v>
      </c>
      <c r="E5" s="13">
        <f>Financials!D3</f>
        <v>1107.43</v>
      </c>
      <c r="F5" s="5">
        <f>B5*(1+F4)</f>
        <v>2279.116</v>
      </c>
      <c r="G5" s="5">
        <f>F5*(1+G4)</f>
        <v>3190.7623999999996</v>
      </c>
      <c r="H5" s="5">
        <f>G5*(1+H4)</f>
        <v>4467.0673599999991</v>
      </c>
    </row>
    <row r="6" spans="1:9" x14ac:dyDescent="0.3">
      <c r="A6" s="76" t="s">
        <v>85</v>
      </c>
      <c r="B6" s="76"/>
      <c r="C6" s="76"/>
      <c r="D6" s="76"/>
      <c r="E6" s="76"/>
      <c r="F6" s="76"/>
      <c r="G6" s="76"/>
      <c r="H6" s="76"/>
    </row>
    <row r="7" spans="1:9" ht="18" customHeight="1" x14ac:dyDescent="0.3">
      <c r="A7" s="12" t="s">
        <v>86</v>
      </c>
      <c r="B7" s="22"/>
      <c r="F7" s="13">
        <f>F8*F5</f>
        <v>182.32928000000001</v>
      </c>
      <c r="G7" s="13">
        <f t="shared" ref="G7:H7" si="0">G8*G5</f>
        <v>319.07623999999998</v>
      </c>
      <c r="H7" s="13">
        <f t="shared" si="0"/>
        <v>670.0601039999998</v>
      </c>
      <c r="I7" s="7" t="s">
        <v>87</v>
      </c>
    </row>
    <row r="8" spans="1:9" ht="18" customHeight="1" x14ac:dyDescent="0.3">
      <c r="A8" s="12" t="s">
        <v>88</v>
      </c>
      <c r="B8" s="22"/>
      <c r="F8" s="16">
        <v>0.08</v>
      </c>
      <c r="G8" s="16">
        <v>0.1</v>
      </c>
      <c r="H8" s="16">
        <v>0.15</v>
      </c>
      <c r="I8" s="7" t="s">
        <v>240</v>
      </c>
    </row>
    <row r="9" spans="1:9" ht="18" customHeight="1" x14ac:dyDescent="0.3">
      <c r="A9" s="12" t="s">
        <v>89</v>
      </c>
      <c r="B9" s="13">
        <f>Financials!E4</f>
        <v>5.47</v>
      </c>
      <c r="C9" s="13">
        <f>Financials!B4</f>
        <v>4</v>
      </c>
      <c r="D9" s="13">
        <f>Financials!C4</f>
        <v>10.09</v>
      </c>
      <c r="E9" s="13">
        <f>Financials!D4</f>
        <v>7.22</v>
      </c>
      <c r="F9" s="13">
        <f>$B$9</f>
        <v>5.47</v>
      </c>
      <c r="G9" s="13">
        <f t="shared" ref="G9:H9" si="1">$B$9</f>
        <v>5.47</v>
      </c>
      <c r="H9" s="13">
        <f t="shared" si="1"/>
        <v>5.47</v>
      </c>
      <c r="I9" s="7" t="s">
        <v>90</v>
      </c>
    </row>
    <row r="10" spans="1:9" x14ac:dyDescent="0.3">
      <c r="A10" s="76" t="s">
        <v>91</v>
      </c>
      <c r="B10" s="76"/>
      <c r="C10" s="76"/>
      <c r="D10" s="76"/>
      <c r="E10" s="76"/>
      <c r="F10" s="76"/>
      <c r="G10" s="76"/>
      <c r="H10" s="76"/>
      <c r="I10" s="7"/>
    </row>
    <row r="11" spans="1:9" ht="18" customHeight="1" x14ac:dyDescent="0.3">
      <c r="A11" s="3" t="s">
        <v>92</v>
      </c>
      <c r="B11" s="4">
        <f>Financials!E15</f>
        <v>0.12112240008845539</v>
      </c>
      <c r="C11" s="23">
        <f>Financials!B15</f>
        <v>6.8105029442996498E-2</v>
      </c>
      <c r="D11" s="23">
        <f>Financials!C15</f>
        <v>0.11955644453802161</v>
      </c>
      <c r="E11" s="23">
        <f>Financials!D15</f>
        <v>0.12076609808294889</v>
      </c>
      <c r="F11" s="16">
        <f>$B$11</f>
        <v>0.12112240008845539</v>
      </c>
      <c r="G11" s="16">
        <f>$B$11</f>
        <v>0.12112240008845539</v>
      </c>
      <c r="H11" s="16">
        <f>$B$11</f>
        <v>0.12112240008845539</v>
      </c>
      <c r="I11" s="7" t="s">
        <v>234</v>
      </c>
    </row>
    <row r="12" spans="1:9" ht="18" customHeight="1" x14ac:dyDescent="0.3">
      <c r="A12" s="12" t="s">
        <v>93</v>
      </c>
      <c r="B12" s="23">
        <f>Financials!E8/Financials!E3</f>
        <v>3.6248264678059389E-2</v>
      </c>
      <c r="C12" s="13">
        <f>Financials!B8</f>
        <v>21.28</v>
      </c>
      <c r="D12" s="13">
        <f>Financials!C8</f>
        <v>28.91</v>
      </c>
      <c r="E12" s="13">
        <f>Financials!D8</f>
        <v>47.28</v>
      </c>
      <c r="F12" s="17">
        <f>F5*$B$12</f>
        <v>82.614000000000004</v>
      </c>
      <c r="G12" s="17">
        <f>G5*$B$12</f>
        <v>115.65959999999998</v>
      </c>
      <c r="H12" s="17">
        <f>H5*$B$12</f>
        <v>161.92343999999997</v>
      </c>
      <c r="I12" s="7" t="s">
        <v>235</v>
      </c>
    </row>
    <row r="13" spans="1:9" ht="18" customHeight="1" x14ac:dyDescent="0.3">
      <c r="A13" s="12" t="s">
        <v>94</v>
      </c>
      <c r="B13" s="23">
        <f>Financials!E11/Financials!E3</f>
        <v>2.5953044952516678E-2</v>
      </c>
      <c r="C13" s="13">
        <f>Financials!B11</f>
        <v>7.22</v>
      </c>
      <c r="D13" s="13">
        <f>Financials!C11</f>
        <v>14.53</v>
      </c>
      <c r="E13" s="13">
        <f>Financials!D11</f>
        <v>32</v>
      </c>
      <c r="F13" s="17">
        <f>F5*$B$13</f>
        <v>59.15</v>
      </c>
      <c r="G13" s="17">
        <f>G5*$B$13</f>
        <v>82.809999999999988</v>
      </c>
      <c r="H13" s="17">
        <f>H5*$B$13</f>
        <v>115.93399999999998</v>
      </c>
      <c r="I13" s="7" t="s">
        <v>236</v>
      </c>
    </row>
    <row r="14" spans="1:9" ht="18" customHeight="1" x14ac:dyDescent="0.3">
      <c r="A14" s="3" t="s">
        <v>237</v>
      </c>
      <c r="B14" s="61">
        <f>Financials!E7</f>
        <v>1329.5</v>
      </c>
      <c r="C14" s="13">
        <f>Financials!B7</f>
        <v>164.57</v>
      </c>
      <c r="D14" s="13">
        <f>Financials!C7</f>
        <v>207.46</v>
      </c>
      <c r="E14" s="13">
        <f>Financials!D7</f>
        <v>894.41</v>
      </c>
      <c r="F14" s="5">
        <f>F5*(1-$B$11-$B$12)</f>
        <v>1920.4499999999998</v>
      </c>
      <c r="G14" s="5">
        <f t="shared" ref="G14:H14" si="2">G5*(1-$B$11-$B$12)</f>
        <v>2688.6299999999992</v>
      </c>
      <c r="H14" s="5">
        <f t="shared" si="2"/>
        <v>3764.081999999999</v>
      </c>
      <c r="I14" s="7"/>
    </row>
    <row r="15" spans="1:9" x14ac:dyDescent="0.3">
      <c r="A15" s="76" t="s">
        <v>95</v>
      </c>
      <c r="B15" s="76"/>
      <c r="C15" s="76"/>
      <c r="D15" s="76"/>
      <c r="E15" s="76"/>
      <c r="F15" s="76"/>
      <c r="G15" s="76"/>
      <c r="H15" s="76"/>
      <c r="I15" s="7"/>
    </row>
    <row r="16" spans="1:9" ht="18" customHeight="1" x14ac:dyDescent="0.3">
      <c r="A16" s="12" t="s">
        <v>96</v>
      </c>
      <c r="B16" s="56">
        <f>Financials!E10/Financials!E3</f>
        <v>7.0027150877796467E-4</v>
      </c>
      <c r="C16" s="13">
        <f>Financials!B10</f>
        <v>0.94</v>
      </c>
      <c r="D16" s="13">
        <f>Financials!C10</f>
        <v>0.7</v>
      </c>
      <c r="E16" s="13">
        <f>Financials!D10</f>
        <v>1.21</v>
      </c>
      <c r="F16" s="17">
        <f>F5*$B$16</f>
        <v>1.5959999999999996</v>
      </c>
      <c r="G16" s="17">
        <f t="shared" ref="G16:H16" si="3">G5*$B$16</f>
        <v>2.2343999999999995</v>
      </c>
      <c r="H16" s="17">
        <f t="shared" si="3"/>
        <v>3.1281599999999989</v>
      </c>
      <c r="I16" s="7" t="s">
        <v>238</v>
      </c>
    </row>
    <row r="17" spans="1:10" ht="18" customHeight="1" x14ac:dyDescent="0.3">
      <c r="A17" s="12" t="s">
        <v>97</v>
      </c>
      <c r="B17" s="25">
        <v>2.14</v>
      </c>
      <c r="C17" s="13">
        <v>1.2</v>
      </c>
      <c r="D17" s="13">
        <v>1.5</v>
      </c>
      <c r="E17" s="13">
        <v>2.1</v>
      </c>
      <c r="F17" s="17">
        <f>F5*0.0013</f>
        <v>2.9628508</v>
      </c>
      <c r="G17" s="17">
        <f>G5*0.0013</f>
        <v>4.1479911199999995</v>
      </c>
      <c r="H17" s="17">
        <f>H5*0.0013</f>
        <v>5.8071875679999989</v>
      </c>
      <c r="I17" s="7" t="s">
        <v>239</v>
      </c>
    </row>
    <row r="18" spans="1:10" x14ac:dyDescent="0.3">
      <c r="A18" s="76" t="s">
        <v>98</v>
      </c>
      <c r="B18" s="76"/>
      <c r="C18" s="76"/>
      <c r="D18" s="76"/>
      <c r="E18" s="76"/>
      <c r="F18" s="76"/>
      <c r="G18" s="76"/>
      <c r="H18" s="76"/>
      <c r="I18" s="7"/>
    </row>
    <row r="19" spans="1:10" ht="18" customHeight="1" x14ac:dyDescent="0.3">
      <c r="A19" s="12" t="s">
        <v>99</v>
      </c>
      <c r="B19" s="58">
        <f>Financials!E9/(Financials!E47+Financials!E51)</f>
        <v>8.5664885256208731E-2</v>
      </c>
      <c r="C19" s="13">
        <f>Financials!B9</f>
        <v>8.4700000000000006</v>
      </c>
      <c r="D19" s="13">
        <f>Financials!C9</f>
        <v>9.2899999999999991</v>
      </c>
      <c r="E19" s="13">
        <f>Financials!D9</f>
        <v>16.649999999999999</v>
      </c>
      <c r="F19" s="17">
        <f>(F20+45)*$B$19</f>
        <v>13.640077019805091</v>
      </c>
      <c r="G19" s="17">
        <f t="shared" ref="G19:H19" si="4">(G20+45)*$B$19</f>
        <v>17.554139893115369</v>
      </c>
      <c r="H19" s="17">
        <f t="shared" si="4"/>
        <v>23.033827915749761</v>
      </c>
      <c r="I19" s="7"/>
    </row>
    <row r="20" spans="1:10" ht="18" customHeight="1" x14ac:dyDescent="0.3">
      <c r="A20" s="3" t="s">
        <v>100</v>
      </c>
      <c r="B20" s="57">
        <f>Financials!E51/Financials!E3</f>
        <v>5.0118554737889606E-2</v>
      </c>
      <c r="C20" s="13">
        <f>Financials!B51</f>
        <v>15.94</v>
      </c>
      <c r="D20" s="13">
        <f>Financials!C51</f>
        <v>24.84</v>
      </c>
      <c r="E20" s="13">
        <f>Financials!D51</f>
        <v>28.9</v>
      </c>
      <c r="F20" s="25">
        <f>$B$20*F5</f>
        <v>114.22600000000001</v>
      </c>
      <c r="G20" s="25">
        <f t="shared" ref="G20:H20" si="5">$B$20*G5</f>
        <v>159.91639999999998</v>
      </c>
      <c r="H20" s="25">
        <f t="shared" si="5"/>
        <v>223.88295999999997</v>
      </c>
      <c r="I20" s="7" t="s">
        <v>241</v>
      </c>
    </row>
    <row r="21" spans="1:10" ht="18" customHeight="1" x14ac:dyDescent="0.3">
      <c r="A21" s="12" t="s">
        <v>101</v>
      </c>
      <c r="B21" s="22"/>
      <c r="F21" s="17">
        <f>F20-B20</f>
        <v>114.17588144526212</v>
      </c>
      <c r="G21" s="17">
        <f>G20-F20</f>
        <v>45.690399999999968</v>
      </c>
      <c r="H21" s="17">
        <f>H20-G20</f>
        <v>63.966559999999987</v>
      </c>
      <c r="I21" s="7"/>
    </row>
    <row r="22" spans="1:10" ht="18" customHeight="1" x14ac:dyDescent="0.3">
      <c r="A22" s="3" t="s">
        <v>242</v>
      </c>
      <c r="B22" s="66">
        <v>0.25169999999999998</v>
      </c>
      <c r="F22" s="16">
        <f>$B$22</f>
        <v>0.25169999999999998</v>
      </c>
      <c r="G22" s="16">
        <f>$B$22</f>
        <v>0.25169999999999998</v>
      </c>
      <c r="H22" s="16">
        <f>$B$22</f>
        <v>0.25169999999999998</v>
      </c>
      <c r="I22" s="7"/>
    </row>
    <row r="23" spans="1:10" ht="18" customHeight="1" x14ac:dyDescent="0.3">
      <c r="A23" s="12" t="s">
        <v>102</v>
      </c>
      <c r="B23" s="13">
        <v>1.8</v>
      </c>
      <c r="F23" s="13">
        <v>1.8</v>
      </c>
      <c r="G23" s="13">
        <v>1.8</v>
      </c>
      <c r="H23" s="13">
        <v>1.8</v>
      </c>
      <c r="I23" s="7"/>
    </row>
    <row r="24" spans="1:10" ht="18" customHeight="1" x14ac:dyDescent="0.3">
      <c r="A24" s="3" t="s">
        <v>103</v>
      </c>
      <c r="B24" s="20">
        <v>5.69</v>
      </c>
      <c r="F24" s="17">
        <f>$B$24</f>
        <v>5.69</v>
      </c>
      <c r="G24" s="17">
        <f>$B$24</f>
        <v>5.69</v>
      </c>
      <c r="H24" s="17">
        <f>$B$24</f>
        <v>5.69</v>
      </c>
      <c r="I24" s="7"/>
      <c r="J24" s="17"/>
    </row>
    <row r="25" spans="1:10" ht="18" customHeight="1" x14ac:dyDescent="0.3">
      <c r="A25" s="12" t="s">
        <v>104</v>
      </c>
      <c r="B25" s="26">
        <v>1.8007</v>
      </c>
      <c r="I25" s="7"/>
    </row>
    <row r="26" spans="1:10" ht="18" customHeight="1" x14ac:dyDescent="0.3">
      <c r="A26" s="76" t="s">
        <v>105</v>
      </c>
      <c r="B26" s="76"/>
      <c r="C26" s="76"/>
      <c r="D26" s="76"/>
      <c r="E26" s="76"/>
      <c r="F26" s="76"/>
      <c r="G26" s="76"/>
      <c r="H26" s="76"/>
      <c r="I26" s="7"/>
    </row>
    <row r="27" spans="1:10" ht="18" customHeight="1" x14ac:dyDescent="0.3">
      <c r="A27" s="70" t="s">
        <v>251</v>
      </c>
      <c r="B27">
        <f>(Financials!E47+Financials!E51)-Financials!E37</f>
        <v>61.790000000000006</v>
      </c>
      <c r="I27" s="7"/>
    </row>
    <row r="28" spans="1:10" x14ac:dyDescent="0.3">
      <c r="A28" s="76" t="s">
        <v>250</v>
      </c>
      <c r="B28" s="76"/>
      <c r="C28" s="76"/>
      <c r="D28" s="76"/>
      <c r="E28" s="76"/>
      <c r="F28" s="76"/>
      <c r="G28" s="76"/>
      <c r="H28" s="76"/>
      <c r="I28" s="7"/>
    </row>
    <row r="29" spans="1:10" ht="21.75" customHeight="1" x14ac:dyDescent="0.3">
      <c r="A29" s="3" t="s">
        <v>106</v>
      </c>
      <c r="B29" s="60">
        <v>60</v>
      </c>
      <c r="C29" s="77" t="s">
        <v>107</v>
      </c>
      <c r="D29" s="77"/>
      <c r="E29" s="77"/>
      <c r="F29" s="77"/>
      <c r="G29" s="77"/>
      <c r="H29" s="77"/>
      <c r="I29" s="7"/>
    </row>
    <row r="30" spans="1:10" ht="21.75" customHeight="1" x14ac:dyDescent="0.3">
      <c r="A30" s="3" t="s">
        <v>108</v>
      </c>
      <c r="B30" s="60">
        <v>85</v>
      </c>
      <c r="C30" s="77" t="s">
        <v>109</v>
      </c>
      <c r="D30" s="77"/>
      <c r="E30" s="77"/>
      <c r="F30" s="77"/>
      <c r="G30" s="77"/>
      <c r="H30" s="77"/>
      <c r="I30" s="7"/>
    </row>
    <row r="31" spans="1:10" ht="21.75" customHeight="1" x14ac:dyDescent="0.3">
      <c r="A31" s="3" t="s">
        <v>110</v>
      </c>
      <c r="B31" s="60">
        <v>60</v>
      </c>
      <c r="C31" s="77" t="s">
        <v>111</v>
      </c>
      <c r="D31" s="77"/>
      <c r="E31" s="77"/>
      <c r="F31" s="77"/>
      <c r="G31" s="77"/>
      <c r="H31" s="77"/>
      <c r="I31" s="7"/>
    </row>
    <row r="32" spans="1:10" ht="21.75" customHeight="1" x14ac:dyDescent="0.3">
      <c r="A32" s="3" t="s">
        <v>112</v>
      </c>
      <c r="B32" s="60">
        <v>28</v>
      </c>
      <c r="C32" s="77" t="s">
        <v>113</v>
      </c>
      <c r="D32" s="77"/>
      <c r="E32" s="77"/>
      <c r="F32" s="77"/>
      <c r="G32" s="77"/>
      <c r="H32" s="77"/>
      <c r="I32" s="7"/>
    </row>
    <row r="33" spans="1:9" ht="21.75" customHeight="1" x14ac:dyDescent="0.3">
      <c r="A33" s="3" t="s">
        <v>114</v>
      </c>
      <c r="B33" s="60">
        <v>85</v>
      </c>
      <c r="C33" s="77" t="s">
        <v>115</v>
      </c>
      <c r="D33" s="77"/>
      <c r="E33" s="77"/>
      <c r="F33" s="77"/>
      <c r="G33" s="77"/>
      <c r="H33" s="77"/>
      <c r="I33" s="7"/>
    </row>
    <row r="34" spans="1:9" x14ac:dyDescent="0.3">
      <c r="A34" s="76" t="s">
        <v>116</v>
      </c>
      <c r="B34" s="76"/>
      <c r="C34" s="76"/>
      <c r="D34" s="76"/>
      <c r="E34" s="76"/>
      <c r="F34" s="76"/>
      <c r="G34" s="76"/>
      <c r="H34" s="76"/>
      <c r="I34" s="7"/>
    </row>
    <row r="35" spans="1:9" ht="18" customHeight="1" x14ac:dyDescent="0.3">
      <c r="A35" s="3" t="s">
        <v>117</v>
      </c>
      <c r="B35" s="25">
        <f>Financials!C63</f>
        <v>-216.16</v>
      </c>
      <c r="C35" s="17"/>
      <c r="D35" s="17"/>
      <c r="E35" s="17"/>
      <c r="F35" s="21">
        <f>-((F5*$B$31/365+F14*$B$32/365-F14*$B$33/365)-(B5*$B$31/365+B14*$B$32/365-B14*$B$33/365))</f>
        <v>-14.757287671232859</v>
      </c>
      <c r="G35" s="21">
        <f>-((G5*$B$31/365+G14*$B$32/365-G14*$B$33/365)-(F5*$B$31/365+F14*$B$32/365-F14*$B$33/365))</f>
        <v>-29.897326027397469</v>
      </c>
      <c r="H35" s="21">
        <f>-((H5*$B$31/365+H14*$B$32/365-H14*$B$33/365)-(G5*$B$31/365+G14*$B$32/365-G14*$B$33/365))</f>
        <v>-41.856256438355899</v>
      </c>
      <c r="I35" s="7"/>
    </row>
    <row r="36" spans="1:9" ht="18" customHeight="1" x14ac:dyDescent="0.3">
      <c r="A36" s="78" t="s">
        <v>118</v>
      </c>
      <c r="B36" s="78"/>
      <c r="C36" s="78"/>
      <c r="D36" s="78"/>
      <c r="E36" s="78"/>
      <c r="F36" s="78"/>
      <c r="G36" s="78"/>
      <c r="H36" s="78"/>
      <c r="I36" s="7"/>
    </row>
    <row r="37" spans="1:9" ht="18" customHeight="1" x14ac:dyDescent="0.3">
      <c r="A37" s="12" t="s">
        <v>119</v>
      </c>
      <c r="B37" s="13">
        <f>Financials!C81</f>
        <v>1.1800000000001063</v>
      </c>
      <c r="C37" s="27"/>
      <c r="D37" s="27"/>
      <c r="E37" s="27"/>
      <c r="F37" s="14">
        <f>Financials!D81</f>
        <v>151.81705414010935</v>
      </c>
      <c r="G37" s="14">
        <f>Financials!E81</f>
        <v>402.91862183069395</v>
      </c>
      <c r="H37" s="14">
        <f>Financials!F81</f>
        <v>747.3438695529826</v>
      </c>
      <c r="I37" s="7"/>
    </row>
    <row r="38" spans="1:9" x14ac:dyDescent="0.3">
      <c r="A38" s="76" t="s">
        <v>120</v>
      </c>
      <c r="B38" s="76"/>
      <c r="C38" s="76"/>
      <c r="D38" s="76"/>
      <c r="E38" s="76"/>
      <c r="F38" s="76"/>
      <c r="G38" s="76"/>
      <c r="H38" s="76"/>
      <c r="I38" s="7"/>
    </row>
    <row r="39" spans="1:9" ht="18" customHeight="1" x14ac:dyDescent="0.3">
      <c r="A39" s="12" t="s">
        <v>121</v>
      </c>
      <c r="B39" s="13">
        <v>435.5</v>
      </c>
      <c r="I39" s="7"/>
    </row>
    <row r="40" spans="1:9" ht="18" customHeight="1" x14ac:dyDescent="0.3">
      <c r="A40" s="12" t="s">
        <v>122</v>
      </c>
      <c r="B40" s="13">
        <v>304.85000000000002</v>
      </c>
      <c r="I40" s="7"/>
    </row>
    <row r="41" spans="1:9" ht="18" customHeight="1" x14ac:dyDescent="0.3">
      <c r="A41" s="12" t="s">
        <v>123</v>
      </c>
      <c r="B41" s="13">
        <v>130.65</v>
      </c>
      <c r="I41" s="7"/>
    </row>
    <row r="42" spans="1:9" ht="18" customHeight="1" x14ac:dyDescent="0.3">
      <c r="A42" s="12" t="s">
        <v>124</v>
      </c>
      <c r="B42" s="13">
        <v>9.1</v>
      </c>
      <c r="I42" s="7"/>
    </row>
    <row r="43" spans="1:9" ht="18" customHeight="1" x14ac:dyDescent="0.3">
      <c r="A43" s="3" t="s">
        <v>125</v>
      </c>
      <c r="B43" s="20">
        <v>121.55</v>
      </c>
      <c r="I43" s="7"/>
    </row>
    <row r="44" spans="1:9" ht="18" customHeight="1" x14ac:dyDescent="0.3">
      <c r="A44" s="12" t="s">
        <v>126</v>
      </c>
      <c r="B44" s="13">
        <v>-121.55</v>
      </c>
      <c r="F44" s="25">
        <v>-121.55</v>
      </c>
      <c r="G44" s="13">
        <v>0</v>
      </c>
      <c r="H44" s="13">
        <v>0</v>
      </c>
      <c r="I44" s="7"/>
    </row>
    <row r="45" spans="1:9" ht="18" customHeight="1" x14ac:dyDescent="0.3">
      <c r="A45" s="12" t="s">
        <v>127</v>
      </c>
      <c r="B45" s="13">
        <v>14.74</v>
      </c>
      <c r="I45" s="7"/>
    </row>
    <row r="46" spans="1:9" ht="18" customHeight="1" x14ac:dyDescent="0.3">
      <c r="A46" s="3" t="s">
        <v>128</v>
      </c>
      <c r="B46" s="4">
        <v>0.85</v>
      </c>
      <c r="I46" s="7"/>
    </row>
    <row r="47" spans="1:9" ht="18" customHeight="1" x14ac:dyDescent="0.3">
      <c r="A47" s="3" t="s">
        <v>129</v>
      </c>
      <c r="B47" s="4">
        <v>0.11</v>
      </c>
      <c r="I47" s="7"/>
    </row>
    <row r="48" spans="1:9" ht="18" customHeight="1" x14ac:dyDescent="0.3">
      <c r="A48" s="12" t="s">
        <v>130</v>
      </c>
      <c r="B48" s="28">
        <v>20</v>
      </c>
      <c r="I48" s="7"/>
    </row>
    <row r="49" spans="1:9" ht="39.75" customHeight="1" x14ac:dyDescent="0.3">
      <c r="A49" s="77" t="s">
        <v>131</v>
      </c>
      <c r="B49" s="77"/>
      <c r="C49" s="77"/>
      <c r="D49" s="77"/>
      <c r="E49" s="77"/>
      <c r="F49" s="77"/>
      <c r="G49" s="77"/>
      <c r="H49" s="77"/>
      <c r="I49" s="7"/>
    </row>
  </sheetData>
  <mergeCells count="17">
    <mergeCell ref="A49:H49"/>
    <mergeCell ref="A26:H26"/>
    <mergeCell ref="C32:H32"/>
    <mergeCell ref="C33:H33"/>
    <mergeCell ref="A34:H34"/>
    <mergeCell ref="A36:H36"/>
    <mergeCell ref="A38:H38"/>
    <mergeCell ref="A18:H18"/>
    <mergeCell ref="A28:H28"/>
    <mergeCell ref="C29:H29"/>
    <mergeCell ref="C30:H30"/>
    <mergeCell ref="C31:H31"/>
    <mergeCell ref="A1:H1"/>
    <mergeCell ref="A3:H3"/>
    <mergeCell ref="A6:H6"/>
    <mergeCell ref="A10:H10"/>
    <mergeCell ref="A15:H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J70"/>
  <sheetViews>
    <sheetView showGridLines="0" zoomScale="85" zoomScaleNormal="100" workbookViewId="0">
      <pane xSplit="1" ySplit="3" topLeftCell="B34" activePane="bottomRight" state="frozen"/>
      <selection pane="topRight" activeCell="B1" sqref="B1"/>
      <selection pane="bottomLeft" activeCell="A4" sqref="A4"/>
      <selection pane="bottomRight" activeCell="B20" sqref="B20"/>
    </sheetView>
  </sheetViews>
  <sheetFormatPr defaultColWidth="8.6640625" defaultRowHeight="14.4" x14ac:dyDescent="0.3"/>
  <cols>
    <col min="1" max="1" width="40" customWidth="1"/>
    <col min="2" max="11" width="14" customWidth="1"/>
  </cols>
  <sheetData>
    <row r="1" spans="1:10" x14ac:dyDescent="0.3">
      <c r="A1" s="75" t="s">
        <v>247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27.75" customHeight="1" x14ac:dyDescent="0.3">
      <c r="A2" s="1"/>
      <c r="B2" s="8" t="s">
        <v>132</v>
      </c>
      <c r="C2" s="8" t="s">
        <v>79</v>
      </c>
      <c r="D2" s="8" t="s">
        <v>80</v>
      </c>
      <c r="E2" s="8" t="s">
        <v>81</v>
      </c>
      <c r="F2" s="8" t="s">
        <v>12</v>
      </c>
      <c r="G2" s="8" t="s">
        <v>13</v>
      </c>
      <c r="H2" s="8" t="s">
        <v>14</v>
      </c>
    </row>
    <row r="3" spans="1:10" x14ac:dyDescent="0.3">
      <c r="A3" s="76" t="s">
        <v>133</v>
      </c>
      <c r="B3" s="76"/>
      <c r="C3" s="76"/>
      <c r="D3" s="76"/>
      <c r="E3" s="76"/>
      <c r="F3" s="76"/>
      <c r="G3" s="76"/>
      <c r="H3" s="76"/>
    </row>
    <row r="4" spans="1:10" x14ac:dyDescent="0.3">
      <c r="A4" s="3" t="s">
        <v>134</v>
      </c>
      <c r="B4" s="22"/>
      <c r="C4" s="23"/>
      <c r="D4" s="23">
        <f>Financials!C5/Financials!B5-1</f>
        <v>0.39719670423335529</v>
      </c>
      <c r="E4" s="23">
        <f>Financials!D5/Financials!C5-1</f>
        <v>2.7777062292415104</v>
      </c>
      <c r="F4" s="4">
        <v>0.25</v>
      </c>
      <c r="G4" s="4">
        <v>0.25</v>
      </c>
      <c r="H4" s="4">
        <v>0.25</v>
      </c>
    </row>
    <row r="5" spans="1:10" x14ac:dyDescent="0.3">
      <c r="A5" s="3" t="s">
        <v>135</v>
      </c>
      <c r="B5" s="22"/>
      <c r="C5" s="23"/>
      <c r="D5" s="23">
        <f>D4</f>
        <v>0.39719670423335529</v>
      </c>
      <c r="E5" s="23">
        <f t="shared" ref="E5" si="0">E4</f>
        <v>2.7777062292415104</v>
      </c>
      <c r="F5" s="4">
        <v>0.4</v>
      </c>
      <c r="G5" s="4">
        <v>0.4</v>
      </c>
      <c r="H5" s="4">
        <v>0.4</v>
      </c>
    </row>
    <row r="6" spans="1:10" x14ac:dyDescent="0.3">
      <c r="A6" s="3" t="s">
        <v>136</v>
      </c>
      <c r="B6" s="22"/>
      <c r="C6" s="23"/>
      <c r="D6" s="23">
        <f>D5</f>
        <v>0.39719670423335529</v>
      </c>
      <c r="E6" s="23">
        <f>E5</f>
        <v>2.7777062292415104</v>
      </c>
      <c r="F6" s="4">
        <v>0.55000000000000004</v>
      </c>
      <c r="G6" s="4">
        <v>0.55000000000000004</v>
      </c>
      <c r="H6" s="4">
        <v>0.55000000000000004</v>
      </c>
    </row>
    <row r="7" spans="1:10" x14ac:dyDescent="0.3">
      <c r="A7" s="12" t="s">
        <v>137</v>
      </c>
      <c r="B7" s="22"/>
      <c r="C7" s="13">
        <f>Financials!B5</f>
        <v>211.18</v>
      </c>
      <c r="D7" s="13">
        <f>Financials!C5</f>
        <v>295.06</v>
      </c>
      <c r="E7" s="13">
        <f>Financials!D5</f>
        <v>1114.6500000000001</v>
      </c>
      <c r="F7" s="17">
        <f>1627.94*(1+F4)</f>
        <v>2034.9250000000002</v>
      </c>
      <c r="G7" s="17">
        <f t="shared" ref="G7:H9" si="1">F7*(1+G4)</f>
        <v>2543.65625</v>
      </c>
      <c r="H7" s="17">
        <f t="shared" si="1"/>
        <v>3179.5703125</v>
      </c>
    </row>
    <row r="8" spans="1:10" x14ac:dyDescent="0.3">
      <c r="A8" s="9" t="s">
        <v>138</v>
      </c>
      <c r="B8" s="22"/>
      <c r="C8" s="13">
        <f>C7</f>
        <v>211.18</v>
      </c>
      <c r="D8" s="13">
        <f t="shared" ref="D8:E9" si="2">D7</f>
        <v>295.06</v>
      </c>
      <c r="E8" s="13">
        <f t="shared" si="2"/>
        <v>1114.6500000000001</v>
      </c>
      <c r="F8" s="15">
        <f>1627.94*(1+F5)</f>
        <v>2279.116</v>
      </c>
      <c r="G8" s="15">
        <f t="shared" si="1"/>
        <v>3190.7623999999996</v>
      </c>
      <c r="H8" s="15">
        <f t="shared" si="1"/>
        <v>4467.0673599999991</v>
      </c>
    </row>
    <row r="9" spans="1:10" x14ac:dyDescent="0.3">
      <c r="A9" s="12" t="s">
        <v>139</v>
      </c>
      <c r="B9" s="22"/>
      <c r="C9" s="13">
        <f>C8</f>
        <v>211.18</v>
      </c>
      <c r="D9" s="13">
        <f t="shared" si="2"/>
        <v>295.06</v>
      </c>
      <c r="E9" s="13">
        <f t="shared" si="2"/>
        <v>1114.6500000000001</v>
      </c>
      <c r="F9" s="17">
        <f>1627.94*(1+F6)</f>
        <v>2523.3070000000002</v>
      </c>
      <c r="G9" s="17">
        <f t="shared" si="1"/>
        <v>3911.1258500000004</v>
      </c>
      <c r="H9" s="17">
        <f t="shared" si="1"/>
        <v>6062.2450675000009</v>
      </c>
    </row>
    <row r="11" spans="1:10" x14ac:dyDescent="0.3">
      <c r="A11" s="76" t="s">
        <v>140</v>
      </c>
      <c r="B11" s="76"/>
      <c r="C11" s="76"/>
      <c r="D11" s="76"/>
      <c r="E11" s="76"/>
      <c r="F11" s="76"/>
      <c r="G11" s="76"/>
      <c r="H11" s="76"/>
    </row>
    <row r="12" spans="1:10" x14ac:dyDescent="0.3">
      <c r="A12" s="12" t="s">
        <v>141</v>
      </c>
      <c r="B12" s="4">
        <v>0.1</v>
      </c>
      <c r="C12" s="23">
        <f>Financials!B15</f>
        <v>6.8105029442996498E-2</v>
      </c>
      <c r="D12" s="23">
        <f>Financials!C15</f>
        <v>0.11955644453802161</v>
      </c>
      <c r="E12" s="23">
        <f>Financials!D15</f>
        <v>0.12076609808294889</v>
      </c>
      <c r="F12" s="16">
        <f>B12</f>
        <v>0.1</v>
      </c>
      <c r="G12" s="16">
        <f>B12</f>
        <v>0.1</v>
      </c>
      <c r="H12" s="16">
        <f>B12</f>
        <v>0.1</v>
      </c>
    </row>
    <row r="13" spans="1:10" x14ac:dyDescent="0.3">
      <c r="A13" s="12" t="s">
        <v>142</v>
      </c>
      <c r="B13" s="22"/>
      <c r="C13" s="13">
        <f>C7*C12</f>
        <v>14.382420117772002</v>
      </c>
      <c r="D13" s="13">
        <f t="shared" ref="D13:E13" si="3">D7*D12</f>
        <v>35.276324525388659</v>
      </c>
      <c r="E13" s="13">
        <f t="shared" si="3"/>
        <v>134.61193122815899</v>
      </c>
      <c r="F13" s="17">
        <f>F7*F12</f>
        <v>203.49250000000004</v>
      </c>
      <c r="G13" s="17">
        <f>G7*G12</f>
        <v>254.36562500000002</v>
      </c>
      <c r="H13" s="17">
        <f>H7*H12</f>
        <v>317.95703125</v>
      </c>
    </row>
    <row r="14" spans="1:10" x14ac:dyDescent="0.3">
      <c r="A14" s="12" t="s">
        <v>143</v>
      </c>
      <c r="B14" s="4">
        <v>0.12</v>
      </c>
      <c r="C14" s="23">
        <f>C12</f>
        <v>6.8105029442996498E-2</v>
      </c>
      <c r="D14" s="23">
        <f t="shared" ref="D14:E14" si="4">D12</f>
        <v>0.11955644453802161</v>
      </c>
      <c r="E14" s="23">
        <f t="shared" si="4"/>
        <v>0.12076609808294889</v>
      </c>
      <c r="F14" s="16">
        <f>B14</f>
        <v>0.12</v>
      </c>
      <c r="G14" s="16">
        <f>B14</f>
        <v>0.12</v>
      </c>
      <c r="H14" s="16">
        <f>B14</f>
        <v>0.12</v>
      </c>
    </row>
    <row r="15" spans="1:10" x14ac:dyDescent="0.3">
      <c r="A15" s="9" t="s">
        <v>144</v>
      </c>
      <c r="B15" s="22"/>
      <c r="C15" s="13">
        <f>C13</f>
        <v>14.382420117772002</v>
      </c>
      <c r="D15" s="13">
        <f t="shared" ref="D15:E15" si="5">D13</f>
        <v>35.276324525388659</v>
      </c>
      <c r="E15" s="13">
        <f t="shared" si="5"/>
        <v>134.61193122815899</v>
      </c>
      <c r="F15" s="15">
        <f>F8*F14</f>
        <v>273.49392</v>
      </c>
      <c r="G15" s="15">
        <f>G8*G14</f>
        <v>382.89148799999992</v>
      </c>
      <c r="H15" s="15">
        <f>H8*H14</f>
        <v>536.04808319999984</v>
      </c>
    </row>
    <row r="16" spans="1:10" x14ac:dyDescent="0.3">
      <c r="A16" s="12" t="s">
        <v>145</v>
      </c>
      <c r="B16" s="4">
        <v>0.13</v>
      </c>
      <c r="C16" s="23">
        <f>C14</f>
        <v>6.8105029442996498E-2</v>
      </c>
      <c r="D16" s="23">
        <f t="shared" ref="D16:E16" si="6">D14</f>
        <v>0.11955644453802161</v>
      </c>
      <c r="E16" s="23">
        <f t="shared" si="6"/>
        <v>0.12076609808294889</v>
      </c>
      <c r="F16" s="16">
        <f>B16</f>
        <v>0.13</v>
      </c>
      <c r="G16" s="16">
        <f>B16</f>
        <v>0.13</v>
      </c>
      <c r="H16" s="16">
        <f>B16</f>
        <v>0.13</v>
      </c>
    </row>
    <row r="17" spans="1:8" x14ac:dyDescent="0.3">
      <c r="A17" s="12" t="s">
        <v>146</v>
      </c>
      <c r="B17" s="22"/>
      <c r="C17" s="13">
        <f>C15</f>
        <v>14.382420117772002</v>
      </c>
      <c r="D17" s="13">
        <f t="shared" ref="D17:E17" si="7">D15</f>
        <v>35.276324525388659</v>
      </c>
      <c r="E17" s="13">
        <f t="shared" si="7"/>
        <v>134.61193122815899</v>
      </c>
      <c r="F17" s="17">
        <f>F9*F16</f>
        <v>328.02991000000003</v>
      </c>
      <c r="G17" s="17">
        <f>G9*G16</f>
        <v>508.44636050000008</v>
      </c>
      <c r="H17" s="17">
        <f>H9*H16</f>
        <v>788.09185877500011</v>
      </c>
    </row>
    <row r="19" spans="1:8" x14ac:dyDescent="0.3">
      <c r="A19" s="76" t="s">
        <v>147</v>
      </c>
      <c r="B19" s="76"/>
      <c r="C19" s="76"/>
      <c r="D19" s="76"/>
      <c r="E19" s="76"/>
      <c r="F19" s="76"/>
      <c r="G19" s="76"/>
      <c r="H19" s="76"/>
    </row>
    <row r="20" spans="1:8" x14ac:dyDescent="0.3">
      <c r="A20" s="12" t="s">
        <v>148</v>
      </c>
      <c r="B20" s="22"/>
      <c r="F20" s="17">
        <f>F15</f>
        <v>273.49392</v>
      </c>
      <c r="G20" s="17">
        <f>G15</f>
        <v>382.89148799999992</v>
      </c>
      <c r="H20" s="17">
        <f>H15</f>
        <v>536.04808319999984</v>
      </c>
    </row>
    <row r="21" spans="1:8" x14ac:dyDescent="0.3">
      <c r="A21" s="12" t="s">
        <v>149</v>
      </c>
      <c r="B21" s="22"/>
      <c r="F21" s="17">
        <f>Assumptions!F16</f>
        <v>1.5959999999999996</v>
      </c>
      <c r="G21" s="17">
        <f>Assumptions!G16</f>
        <v>2.2343999999999995</v>
      </c>
      <c r="H21" s="17">
        <f>Assumptions!H16</f>
        <v>3.1281599999999989</v>
      </c>
    </row>
    <row r="22" spans="1:8" x14ac:dyDescent="0.3">
      <c r="A22" s="12" t="s">
        <v>26</v>
      </c>
      <c r="B22" s="22"/>
      <c r="F22" s="17">
        <f>F20-F21</f>
        <v>271.89792</v>
      </c>
      <c r="G22" s="17">
        <f>G20-G21</f>
        <v>380.65708799999993</v>
      </c>
      <c r="H22" s="17">
        <f>H20-H21</f>
        <v>532.91992319999986</v>
      </c>
    </row>
    <row r="23" spans="1:8" x14ac:dyDescent="0.3">
      <c r="A23" s="12" t="s">
        <v>150</v>
      </c>
      <c r="B23" s="22"/>
      <c r="F23" s="17">
        <f>F22*Assumptions!$B$22</f>
        <v>68.436706463999997</v>
      </c>
      <c r="G23" s="17">
        <f>G22*Assumptions!$B$22</f>
        <v>95.811389049599981</v>
      </c>
      <c r="H23" s="17">
        <f>H22*Assumptions!$B$22</f>
        <v>134.13594466943997</v>
      </c>
    </row>
    <row r="24" spans="1:8" x14ac:dyDescent="0.3">
      <c r="A24" s="19" t="s">
        <v>151</v>
      </c>
      <c r="B24" s="22"/>
      <c r="F24" s="21">
        <f>F22-F23</f>
        <v>203.461213536</v>
      </c>
      <c r="G24" s="21">
        <f>G22-G23</f>
        <v>284.84569895039994</v>
      </c>
      <c r="H24" s="21">
        <f>H22-H23</f>
        <v>398.78397853055992</v>
      </c>
    </row>
    <row r="25" spans="1:8" x14ac:dyDescent="0.3">
      <c r="A25" s="12" t="s">
        <v>152</v>
      </c>
      <c r="B25" s="22"/>
      <c r="F25" s="17">
        <f>Assumptions!F16</f>
        <v>1.5959999999999996</v>
      </c>
      <c r="G25" s="17">
        <f>Assumptions!G16</f>
        <v>2.2343999999999995</v>
      </c>
      <c r="H25" s="17">
        <f>Assumptions!H16</f>
        <v>3.1281599999999989</v>
      </c>
    </row>
    <row r="26" spans="1:8" x14ac:dyDescent="0.3">
      <c r="A26" s="12" t="s">
        <v>153</v>
      </c>
      <c r="B26" s="22"/>
      <c r="F26" s="17">
        <f>-Assumptions!F17</f>
        <v>-2.9628508</v>
      </c>
      <c r="G26" s="17">
        <f>-Assumptions!G17</f>
        <v>-4.1479911199999995</v>
      </c>
      <c r="H26" s="17">
        <f>-Assumptions!H17</f>
        <v>-5.8071875679999989</v>
      </c>
    </row>
    <row r="27" spans="1:8" x14ac:dyDescent="0.3">
      <c r="A27" s="12" t="s">
        <v>154</v>
      </c>
      <c r="B27" s="22"/>
      <c r="F27" s="17">
        <f>Assumptions!F35</f>
        <v>-14.757287671232859</v>
      </c>
      <c r="G27" s="17">
        <f>Assumptions!G35</f>
        <v>-29.897326027397469</v>
      </c>
      <c r="H27" s="17">
        <f>Assumptions!H35</f>
        <v>-41.856256438355899</v>
      </c>
    </row>
    <row r="28" spans="1:8" x14ac:dyDescent="0.3">
      <c r="A28" s="19" t="s">
        <v>155</v>
      </c>
      <c r="B28" s="22"/>
      <c r="F28" s="21">
        <f>F24+F25+F26+F27</f>
        <v>187.33707506476713</v>
      </c>
      <c r="G28" s="21">
        <f>G24+G25+G26+G27</f>
        <v>253.03478180300249</v>
      </c>
      <c r="H28" s="21">
        <f>H24+H25+H26+H27</f>
        <v>354.24869452420398</v>
      </c>
    </row>
    <row r="30" spans="1:8" x14ac:dyDescent="0.3">
      <c r="A30" s="76" t="s">
        <v>156</v>
      </c>
      <c r="B30" s="76"/>
      <c r="C30" s="76"/>
      <c r="D30" s="76"/>
      <c r="E30" s="76"/>
      <c r="F30" s="76"/>
      <c r="G30" s="76"/>
      <c r="H30" s="76"/>
    </row>
    <row r="31" spans="1:8" x14ac:dyDescent="0.3">
      <c r="A31" s="12" t="s">
        <v>157</v>
      </c>
      <c r="B31" s="62">
        <v>6.9800000000000001E-2</v>
      </c>
    </row>
    <row r="32" spans="1:8" x14ac:dyDescent="0.3">
      <c r="A32" s="12" t="s">
        <v>158</v>
      </c>
      <c r="B32" s="62">
        <v>7.0800000000000002E-2</v>
      </c>
      <c r="C32" s="65" t="s">
        <v>243</v>
      </c>
    </row>
    <row r="33" spans="1:8" x14ac:dyDescent="0.3">
      <c r="A33" s="12" t="s">
        <v>159</v>
      </c>
      <c r="B33" s="29">
        <v>1.5</v>
      </c>
    </row>
    <row r="34" spans="1:8" x14ac:dyDescent="0.3">
      <c r="A34" s="12" t="s">
        <v>160</v>
      </c>
      <c r="B34" s="63">
        <f>B31+(B33*B32)</f>
        <v>0.17599999999999999</v>
      </c>
    </row>
    <row r="35" spans="1:8" x14ac:dyDescent="0.3">
      <c r="A35" s="12" t="s">
        <v>161</v>
      </c>
      <c r="B35" s="62">
        <f>Assumptions!B19</f>
        <v>8.5664885256208731E-2</v>
      </c>
    </row>
    <row r="36" spans="1:8" x14ac:dyDescent="0.3">
      <c r="A36" s="12" t="s">
        <v>162</v>
      </c>
      <c r="B36" s="63">
        <f>B35*(1-Assumptions!$B$22)</f>
        <v>6.4103033637220988E-2</v>
      </c>
      <c r="D36" s="67" t="s">
        <v>244</v>
      </c>
      <c r="E36" s="67">
        <v>391</v>
      </c>
      <c r="F36" s="68">
        <f>E36/$E$38</f>
        <v>0.75482625482625487</v>
      </c>
    </row>
    <row r="37" spans="1:8" x14ac:dyDescent="0.3">
      <c r="A37" s="12" t="s">
        <v>163</v>
      </c>
      <c r="B37" s="62">
        <f>F36</f>
        <v>0.75482625482625487</v>
      </c>
      <c r="D37" s="67" t="s">
        <v>245</v>
      </c>
      <c r="E37" s="67">
        <v>127</v>
      </c>
      <c r="F37" s="68">
        <f t="shared" ref="F37" si="8">E37/$E$38</f>
        <v>0.24517374517374518</v>
      </c>
    </row>
    <row r="38" spans="1:8" x14ac:dyDescent="0.3">
      <c r="A38" s="12" t="s">
        <v>164</v>
      </c>
      <c r="B38" s="62">
        <f>1-B37</f>
        <v>0.24517374517374513</v>
      </c>
      <c r="D38" s="69" t="s">
        <v>246</v>
      </c>
      <c r="E38" s="69">
        <f>SUM(E36:E37)</f>
        <v>518</v>
      </c>
      <c r="F38" s="67"/>
    </row>
    <row r="39" spans="1:8" x14ac:dyDescent="0.3">
      <c r="A39" s="3" t="s">
        <v>165</v>
      </c>
      <c r="B39" s="64">
        <f>(B34*B37)+(B36*B38)</f>
        <v>0.14856580168325689</v>
      </c>
    </row>
    <row r="40" spans="1:8" x14ac:dyDescent="0.3">
      <c r="A40" s="12" t="s">
        <v>166</v>
      </c>
      <c r="B40" s="62">
        <v>4.4999999999999998E-2</v>
      </c>
    </row>
    <row r="42" spans="1:8" x14ac:dyDescent="0.3">
      <c r="A42" s="76" t="s">
        <v>167</v>
      </c>
      <c r="B42" s="76"/>
      <c r="C42" s="76"/>
      <c r="D42" s="76"/>
      <c r="E42" s="76"/>
      <c r="F42" s="76"/>
      <c r="G42" s="76"/>
      <c r="H42" s="76"/>
    </row>
    <row r="43" spans="1:8" ht="34.5" customHeight="1" x14ac:dyDescent="0.3">
      <c r="A43" s="1" t="s">
        <v>168</v>
      </c>
      <c r="B43" s="8" t="s">
        <v>169</v>
      </c>
      <c r="C43" s="8" t="s">
        <v>170</v>
      </c>
      <c r="D43" s="8" t="s">
        <v>171</v>
      </c>
      <c r="E43" s="8" t="s">
        <v>172</v>
      </c>
      <c r="F43" s="8" t="s">
        <v>173</v>
      </c>
      <c r="G43" s="8" t="s">
        <v>174</v>
      </c>
    </row>
    <row r="44" spans="1:8" x14ac:dyDescent="0.3">
      <c r="A44" s="12" t="s">
        <v>175</v>
      </c>
      <c r="B44" s="17">
        <f>H13</f>
        <v>317.95703125</v>
      </c>
      <c r="C44" s="31"/>
      <c r="D44" s="17">
        <f>H15</f>
        <v>536.04808319999984</v>
      </c>
      <c r="E44" s="31"/>
      <c r="F44" s="17">
        <f>H17</f>
        <v>788.09185877500011</v>
      </c>
      <c r="G44" s="31"/>
    </row>
    <row r="45" spans="1:8" x14ac:dyDescent="0.3">
      <c r="A45" s="12" t="s">
        <v>248</v>
      </c>
      <c r="B45" s="17">
        <f>B44*7</f>
        <v>2225.69921875</v>
      </c>
      <c r="C45" s="31"/>
      <c r="D45" s="17">
        <f>D44*7</f>
        <v>3752.3365823999989</v>
      </c>
      <c r="E45" s="31"/>
      <c r="F45" s="17">
        <f>F44*7</f>
        <v>5516.6430114250006</v>
      </c>
      <c r="G45" s="31"/>
      <c r="H45" t="s">
        <v>249</v>
      </c>
    </row>
    <row r="46" spans="1:8" x14ac:dyDescent="0.3">
      <c r="A46" s="12" t="s">
        <v>176</v>
      </c>
      <c r="B46" s="17">
        <f>B45/(1+B39)^3</f>
        <v>1468.9223204550931</v>
      </c>
      <c r="C46" s="31"/>
      <c r="D46" s="17">
        <f>D45/(1+B39)^3</f>
        <v>2476.476117398799</v>
      </c>
      <c r="E46" s="31"/>
      <c r="F46" s="17">
        <f>F45/(1+B39)^3</f>
        <v>3640.8873154099833</v>
      </c>
      <c r="G46" s="31"/>
    </row>
    <row r="47" spans="1:8" x14ac:dyDescent="0.3">
      <c r="A47" s="12" t="s">
        <v>177</v>
      </c>
      <c r="B47" s="17">
        <f>F28/(1+B39)+G28/(1+B39)^2+H28/(1+B39)^3</f>
        <v>588.7118926784226</v>
      </c>
      <c r="C47" s="31"/>
      <c r="D47" s="17">
        <f>F28/(1+B39)+G28/(1+B39)^2+H28/(1+B39)^3</f>
        <v>588.7118926784226</v>
      </c>
      <c r="E47" s="31"/>
      <c r="F47" s="17">
        <f>F28/(1+B39)+G28/(1+B39)^2+H28/(1+B39)^3</f>
        <v>588.7118926784226</v>
      </c>
      <c r="G47" s="31"/>
    </row>
    <row r="48" spans="1:8" x14ac:dyDescent="0.3">
      <c r="A48" s="3" t="s">
        <v>178</v>
      </c>
      <c r="B48" s="21">
        <f>B46+B47</f>
        <v>2057.6342131335159</v>
      </c>
      <c r="C48" s="32"/>
      <c r="D48" s="21">
        <f>D46+D47</f>
        <v>3065.1880100772214</v>
      </c>
      <c r="E48" s="32"/>
      <c r="F48" s="21">
        <f>F46+F47</f>
        <v>4229.5992080884062</v>
      </c>
      <c r="G48" s="32"/>
    </row>
    <row r="49" spans="1:10" x14ac:dyDescent="0.3">
      <c r="A49" s="12" t="s">
        <v>179</v>
      </c>
      <c r="B49" s="13">
        <f>Assumptions!$B$27</f>
        <v>61.790000000000006</v>
      </c>
      <c r="C49" s="31"/>
      <c r="D49" s="13">
        <f>Assumptions!$B$27</f>
        <v>61.790000000000006</v>
      </c>
      <c r="E49" s="31"/>
      <c r="F49" s="13">
        <f>Assumptions!$B$27</f>
        <v>61.790000000000006</v>
      </c>
      <c r="G49" s="31"/>
    </row>
    <row r="50" spans="1:10" x14ac:dyDescent="0.3">
      <c r="A50" s="3" t="s">
        <v>180</v>
      </c>
      <c r="B50" s="21">
        <f>B48-B49</f>
        <v>1995.844213133516</v>
      </c>
      <c r="C50" s="32"/>
      <c r="D50" s="21">
        <f>D48-D49</f>
        <v>3003.3980100772214</v>
      </c>
      <c r="E50" s="32"/>
      <c r="F50" s="21">
        <f>F48-F49</f>
        <v>4167.8092080884062</v>
      </c>
      <c r="G50" s="32"/>
    </row>
    <row r="51" spans="1:10" x14ac:dyDescent="0.3">
      <c r="A51" s="3" t="s">
        <v>181</v>
      </c>
      <c r="B51" s="21">
        <f>B50/Assumptions!$B$25</f>
        <v>1108.371307343542</v>
      </c>
      <c r="C51" s="21">
        <f>B51</f>
        <v>1108.371307343542</v>
      </c>
      <c r="D51" s="21">
        <f>D50/Assumptions!$B$25</f>
        <v>1667.9058200017889</v>
      </c>
      <c r="E51" s="21">
        <f>D51</f>
        <v>1667.9058200017889</v>
      </c>
      <c r="F51" s="21">
        <f>F50/Assumptions!$B$25</f>
        <v>2314.549457482316</v>
      </c>
      <c r="G51" s="21">
        <f>F51</f>
        <v>2314.549457482316</v>
      </c>
    </row>
    <row r="52" spans="1:10" x14ac:dyDescent="0.3">
      <c r="A52" s="12" t="s">
        <v>182</v>
      </c>
      <c r="B52" s="14">
        <f>'CMP Input'!$B$3</f>
        <v>868</v>
      </c>
      <c r="C52" s="14">
        <f>'CMP Input'!$B$3</f>
        <v>868</v>
      </c>
      <c r="D52" s="14">
        <f>'CMP Input'!$B$3</f>
        <v>868</v>
      </c>
      <c r="E52" s="14">
        <f>'CMP Input'!$B$3</f>
        <v>868</v>
      </c>
      <c r="F52" s="14">
        <f>'CMP Input'!$B$3</f>
        <v>868</v>
      </c>
      <c r="G52" s="14">
        <f>'CMP Input'!$B$3</f>
        <v>868</v>
      </c>
    </row>
    <row r="53" spans="1:10" x14ac:dyDescent="0.3">
      <c r="A53" s="3" t="s">
        <v>183</v>
      </c>
      <c r="B53" s="30">
        <f>IFERROR((B51-B52)/B52,0)</f>
        <v>0.27692546928979489</v>
      </c>
      <c r="C53" s="30">
        <f>IFERROR((B51-B52)/B52,0)</f>
        <v>0.27692546928979489</v>
      </c>
      <c r="D53" s="30">
        <f>IFERROR((D51-D52)/D52,0)</f>
        <v>0.92155048387302874</v>
      </c>
      <c r="E53" s="30">
        <f>IFERROR((D51-D52)/D52,0)</f>
        <v>0.92155048387302874</v>
      </c>
      <c r="F53" s="30">
        <f>IFERROR((F51-F52)/F52,0)</f>
        <v>1.6665316330441429</v>
      </c>
      <c r="G53" s="30">
        <f>IFERROR((F51-F52)/F52,0)</f>
        <v>1.6665316330441429</v>
      </c>
    </row>
    <row r="55" spans="1:10" x14ac:dyDescent="0.3">
      <c r="A55" s="76" t="s">
        <v>184</v>
      </c>
      <c r="B55" s="76"/>
      <c r="C55" s="76"/>
      <c r="D55" s="76"/>
      <c r="E55" s="76"/>
      <c r="F55" s="76"/>
      <c r="G55" s="76"/>
      <c r="H55" s="76"/>
    </row>
    <row r="56" spans="1:10" ht="34.5" customHeight="1" x14ac:dyDescent="0.3">
      <c r="A56" s="1" t="s">
        <v>185</v>
      </c>
      <c r="B56" s="8" t="s">
        <v>186</v>
      </c>
      <c r="C56" s="8" t="s">
        <v>187</v>
      </c>
      <c r="D56" s="8" t="s">
        <v>188</v>
      </c>
      <c r="E56" s="8" t="s">
        <v>189</v>
      </c>
      <c r="F56" s="8" t="s">
        <v>190</v>
      </c>
      <c r="G56" s="8" t="s">
        <v>191</v>
      </c>
      <c r="H56" s="8" t="s">
        <v>192</v>
      </c>
      <c r="I56" s="8" t="s">
        <v>193</v>
      </c>
    </row>
    <row r="57" spans="1:10" x14ac:dyDescent="0.3">
      <c r="A57" s="3" t="s">
        <v>194</v>
      </c>
      <c r="B57" s="33">
        <f>'CMP Input'!B8</f>
        <v>9.19</v>
      </c>
      <c r="C57" s="34">
        <f>IFERROR('CMP Input'!$B$7/(F13),0)</f>
        <v>7.9845576618302863</v>
      </c>
      <c r="D57" s="34">
        <f>IFERROR('CMP Input'!$B$7/(H13),0)</f>
        <v>5.1101169035713845</v>
      </c>
      <c r="E57" s="34">
        <f>IFERROR('CMP Input'!$B$7/(F15),0)</f>
        <v>5.9408911174332495</v>
      </c>
      <c r="F57" s="34">
        <f>IFERROR('CMP Input'!$B$7/(H15),0)</f>
        <v>3.0310668966496181</v>
      </c>
      <c r="G57" s="34">
        <f>IFERROR('CMP Input'!$B$7/(F17),0)</f>
        <v>4.9531995420783419</v>
      </c>
      <c r="H57" s="34">
        <f>IFERROR('CMP Input'!$B$7/(H17),0)</f>
        <v>2.0616855534145024</v>
      </c>
      <c r="I57" s="35" t="s">
        <v>195</v>
      </c>
    </row>
    <row r="58" spans="1:10" x14ac:dyDescent="0.3">
      <c r="A58" s="3" t="s">
        <v>196</v>
      </c>
      <c r="B58" s="33">
        <f>'CMP Input'!B9</f>
        <v>13</v>
      </c>
      <c r="C58" s="34">
        <f>IFERROR('CMP Input'!$B$5/(Financials!F24),0)</f>
        <v>10.083932285086856</v>
      </c>
      <c r="D58" s="34">
        <f>IFERROR('CMP Input'!$B$5/(Financials!H24),0)</f>
        <v>5.1645871581611464</v>
      </c>
      <c r="E58" s="34">
        <f>IFERROR('CMP Input'!$B$5/(Financials!F24),0)</f>
        <v>10.083932285086856</v>
      </c>
      <c r="F58" s="34">
        <f>IFERROR('CMP Input'!$B$5/(Financials!H24),0)</f>
        <v>5.1645871581611464</v>
      </c>
      <c r="G58" s="34">
        <f>IFERROR('CMP Input'!$B$5/(Financials!F24),0)</f>
        <v>10.083932285086856</v>
      </c>
      <c r="H58" s="34">
        <f>IFERROR('CMP Input'!$B$5/(Financials!H24),0)</f>
        <v>5.1645871581611464</v>
      </c>
      <c r="I58" s="35" t="s">
        <v>197</v>
      </c>
    </row>
    <row r="59" spans="1:10" x14ac:dyDescent="0.3">
      <c r="A59" s="3" t="s">
        <v>198</v>
      </c>
      <c r="B59" s="33">
        <f>'CMP Input'!B10</f>
        <v>1.1100000000000001</v>
      </c>
      <c r="C59" s="34">
        <f>IFERROR('CMP Input'!$B$5/(F7),0)</f>
        <v>0.76809101072521091</v>
      </c>
      <c r="D59" s="34">
        <f>IFERROR('CMP Input'!$B$5/(H7),0)</f>
        <v>0.49157824686413504</v>
      </c>
      <c r="E59" s="34">
        <f>IFERROR('CMP Input'!$B$5/(F8),0)</f>
        <v>0.6857955452903669</v>
      </c>
      <c r="F59" s="34">
        <f>IFERROR('CMP Input'!$B$5/(H8),0)</f>
        <v>0.34989568637263624</v>
      </c>
      <c r="G59" s="34">
        <f>IFERROR('CMP Input'!$B$5/(F9),0)</f>
        <v>0.61942823445581519</v>
      </c>
      <c r="H59" s="34">
        <f>IFERROR('CMP Input'!$B$5/(H9),0)</f>
        <v>0.25782652838951725</v>
      </c>
      <c r="I59" s="35" t="s">
        <v>199</v>
      </c>
    </row>
    <row r="62" spans="1:10" x14ac:dyDescent="0.3">
      <c r="A62" s="75" t="s">
        <v>200</v>
      </c>
      <c r="B62" s="75"/>
      <c r="C62" s="75"/>
      <c r="D62" s="75"/>
      <c r="E62" s="75"/>
      <c r="F62" s="75"/>
      <c r="G62" s="75"/>
      <c r="H62" s="75"/>
      <c r="I62" s="75"/>
      <c r="J62" s="75"/>
    </row>
    <row r="63" spans="1:10" x14ac:dyDescent="0.3">
      <c r="A63" s="36" t="s">
        <v>201</v>
      </c>
      <c r="B63" s="37">
        <v>0.02</v>
      </c>
      <c r="C63" s="37">
        <v>0.03</v>
      </c>
      <c r="D63" s="37">
        <v>0.04</v>
      </c>
      <c r="E63" s="37">
        <v>0.05</v>
      </c>
      <c r="F63" s="37">
        <v>0.06</v>
      </c>
    </row>
    <row r="64" spans="1:10" x14ac:dyDescent="0.3">
      <c r="A64" s="37">
        <v>0.12</v>
      </c>
      <c r="B64" s="38">
        <f>IFERROR((F28/(1+0.12)+G28/(1+0.12)^2+H28/(1+0.12)^3+(H28*(1+0.02)/(0.12-0.02))/(1+0.12)^3-61.55)/Assumptions!$B$25,0)</f>
        <v>1739.0358907678815</v>
      </c>
      <c r="C64" s="17">
        <f>IFERROR((F28/(1+0.12)+G28/(1+0.12)^2+H28/(1+0.12)^3+(H28*(1+0.03)/(0.12-0.03))/(1+0.12)^3-61.55)/Assumptions!$B$25,0)</f>
        <v>1913.2921308752086</v>
      </c>
      <c r="D64" s="38">
        <f>IFERROR((F28/(1+0.12)+G28/(1+0.12)^2+H28/(1+0.12)^3+(H28*(1+0.04)/(0.12-0.04))/(1+0.12)^3-61.55)/Assumptions!$B$25,0)</f>
        <v>2131.1124310093674</v>
      </c>
      <c r="E64" s="17">
        <f>IFERROR((F28/(1+0.12)+G28/(1+0.12)^2+H28/(1+0.12)^3+(H28*(1+0.05)/(0.12-0.05))/(1+0.12)^3-61.55)/Assumptions!$B$25,0)</f>
        <v>2411.1671026104282</v>
      </c>
      <c r="F64" s="38">
        <f>IFERROR((F28/(1+0.12)+G28/(1+0.12)^2+H28/(1+0.12)^3+(H28*(1+0.06)/(0.12-0.06))/(1+0.12)^3-61.55)/Assumptions!$B$25,0)</f>
        <v>2784.5733314118424</v>
      </c>
    </row>
    <row r="65" spans="1:6" x14ac:dyDescent="0.3">
      <c r="A65" s="37">
        <v>0.13</v>
      </c>
      <c r="B65" s="38">
        <f>IFERROR((F28/(1+0.13)+G28/(1+0.13)^2+H28/(1+0.13)^3+(H28*(1+0.02)/(0.13-0.02))/(1+0.13)^3-61.55)/Assumptions!$B$25,0)</f>
        <v>1568.5441074039702</v>
      </c>
      <c r="C65" s="17">
        <f>IFERROR((F28/(1+0.13)+G28/(1+0.13)^2+H28/(1+0.13)^3+(H28*(1+0.03)/(0.13-0.03))/(1+0.13)^3-61.55)/Assumptions!$B$25,0)</f>
        <v>1708.6051393289929</v>
      </c>
      <c r="D65" s="38">
        <f>IFERROR((F28/(1+0.13)+G28/(1+0.13)^2+H28/(1+0.13)^3+(H28*(1+0.04)/(0.13-0.04))/(1+0.13)^3-61.55)/Assumptions!$B$25,0)</f>
        <v>1879.7908450151322</v>
      </c>
      <c r="E65" s="17">
        <f>IFERROR((F28/(1+0.13)+G28/(1+0.13)^2+H28/(1+0.13)^3+(H28*(1+0.05)/(0.13-0.05))/(1+0.13)^3-61.55)/Assumptions!$B$25,0)</f>
        <v>2093.772977122806</v>
      </c>
      <c r="F65" s="38">
        <f>IFERROR((F28/(1+0.13)+G28/(1+0.13)^2+H28/(1+0.13)^3+(H28*(1+0.06)/(0.13-0.06))/(1+0.13)^3-61.55)/Assumptions!$B$25,0)</f>
        <v>2368.8928612612435</v>
      </c>
    </row>
    <row r="66" spans="1:6" x14ac:dyDescent="0.3">
      <c r="A66" s="37">
        <v>0.14000000000000001</v>
      </c>
      <c r="B66" s="38">
        <f>IFERROR((F28/(1+0.14)+G28/(1+0.14)^2+H28/(1+0.14)^3+(H28*(1+0.02)/(0.14-0.02))/(1+0.14)^3-61.55)/Assumptions!$B$25,0)</f>
        <v>1426.6711340588242</v>
      </c>
      <c r="C66" s="17">
        <f>IFERROR((F28/(1+0.14)+G28/(1+0.14)^2+H28/(1+0.14)^3+(H28*(1+0.03)/(0.14-0.03))/(1+0.14)^3-61.55)/Assumptions!$B$25,0)</f>
        <v>1541.3499657923458</v>
      </c>
      <c r="D66" s="38">
        <f>IFERROR((F28/(1+0.14)+G28/(1+0.14)^2+H28/(1+0.14)^3+(H28*(1+0.04)/(0.14-0.04))/(1+0.14)^3-61.55)/Assumptions!$B$25,0)</f>
        <v>1678.9645638725717</v>
      </c>
      <c r="E66" s="17">
        <f>IFERROR((F28/(1+0.14)+G28/(1+0.14)^2+H28/(1+0.14)^3+(H28*(1+0.05)/(0.14-0.05))/(1+0.14)^3-61.55)/Assumptions!$B$25,0)</f>
        <v>1847.1601837484031</v>
      </c>
      <c r="F66" s="38">
        <f>IFERROR((F28/(1+0.14)+G28/(1+0.14)^2+H28/(1+0.14)^3+(H28*(1+0.06)/(0.14-0.06))/(1+0.14)^3-61.55)/Assumptions!$B$25,0)</f>
        <v>2057.4047085931929</v>
      </c>
    </row>
    <row r="67" spans="1:6" x14ac:dyDescent="0.3">
      <c r="A67" s="37">
        <v>0.15</v>
      </c>
      <c r="B67" s="38">
        <f>IFERROR((F28/(1+0.15)+G28/(1+0.15)^2+H28/(1+0.15)^3+(H28*(1+0.02)/(0.15-0.02))/(1+0.15)^3-61.55)/Assumptions!$B$25,0)</f>
        <v>1306.8064377005994</v>
      </c>
      <c r="C67" s="17">
        <f>IFERROR((F28/(1+0.15)+G28/(1+0.15)^2+H28/(1+0.15)^3+(H28*(1+0.03)/(0.15-0.03))/(1+0.15)^3-61.55)/Assumptions!$B$25,0)</f>
        <v>1402.1621280847628</v>
      </c>
      <c r="D67" s="21">
        <f>IFERROR((F28/(1+0.15)+G28/(1+0.15)^2+H28/(1+0.15)^3+(H28*(1+0.04)/(0.15-0.04))/(1+0.15)^3-61.55)/Assumptions!$B$25,0)</f>
        <v>1514.8552167205926</v>
      </c>
      <c r="E67" s="17">
        <f>IFERROR((F28/(1+0.15)+G28/(1+0.15)^2+H28/(1+0.15)^3+(H28*(1+0.05)/(0.15-0.05))/(1+0.15)^3-61.55)/Assumptions!$B$25,0)</f>
        <v>1650.0869230835881</v>
      </c>
      <c r="F67" s="38">
        <f>IFERROR((F28/(1+0.15)+G28/(1+0.15)^2+H28/(1+0.15)^3+(H28*(1+0.06)/(0.15-0.06))/(1+0.15)^3-61.55)/Assumptions!$B$25,0)</f>
        <v>1815.3701197494713</v>
      </c>
    </row>
    <row r="68" spans="1:6" x14ac:dyDescent="0.3">
      <c r="A68" s="37">
        <v>0.16</v>
      </c>
      <c r="B68" s="38">
        <f>IFERROR((F28/(1+0.16)+G28/(1+0.16)^2+H28/(1+0.16)^3+(H28*(1+0.02)/(0.16-0.02))/(1+0.16)^3-61.55)/Assumptions!$B$25,0)</f>
        <v>1204.2284482957384</v>
      </c>
      <c r="C68" s="17">
        <f>IFERROR((F28/(1+0.16)+G28/(1+0.16)^2+H28/(1+0.16)^3+(H28*(1+0.03)/(0.16-0.03))/(1+0.16)^3-61.55)/Assumptions!$B$25,0)</f>
        <v>1284.5587739283119</v>
      </c>
      <c r="D68" s="38">
        <f>IFERROR((F28/(1+0.16)+G28/(1+0.16)^2+H28/(1+0.16)^3+(H28*(1+0.04)/(0.16-0.04))/(1+0.16)^3-61.55)/Assumptions!$B$25,0)</f>
        <v>1378.2774871663146</v>
      </c>
      <c r="E68" s="17">
        <f>IFERROR((F28/(1+0.16)+G28/(1+0.16)^2+H28/(1+0.16)^3+(H28*(1+0.05)/(0.16-0.05))/(1+0.16)^3-61.55)/Assumptions!$B$25,0)</f>
        <v>1489.0359664475907</v>
      </c>
      <c r="F68" s="38">
        <f>IFERROR((F28/(1+0.16)+G28/(1+0.16)^2+H28/(1+0.16)^3+(H28*(1+0.06)/(0.16-0.06))/(1+0.16)^3-61.55)/Assumptions!$B$25,0)</f>
        <v>1621.9461415851215</v>
      </c>
    </row>
    <row r="69" spans="1:6" x14ac:dyDescent="0.3">
      <c r="A69" s="37">
        <v>0.17</v>
      </c>
      <c r="B69" s="38">
        <f>IFERROR((F28/(1+0.17)+G28/(1+0.17)^2+H28/(1+0.17)^3+(H28*(1+0.02)/(0.17-0.02))/(1+0.17)^3-61.55)/Assumptions!$B$25,0)</f>
        <v>1115.4748933111161</v>
      </c>
      <c r="C69" s="17">
        <f>IFERROR((F28/(1+0.17)+G28/(1+0.17)^2+H28/(1+0.17)^3+(H28*(1+0.03)/(0.17-0.03))/(1+0.17)^3-61.55)/Assumptions!$B$25,0)</f>
        <v>1183.9095157683435</v>
      </c>
      <c r="D69" s="38">
        <f>IFERROR((F28/(1+0.17)+G28/(1+0.17)^2+H28/(1+0.17)^3+(H28*(1+0.04)/(0.17-0.04))/(1+0.17)^3-61.55)/Assumptions!$B$25,0)</f>
        <v>1262.8725416805294</v>
      </c>
      <c r="E69" s="17">
        <f>IFERROR((F28/(1+0.17)+G28/(1+0.17)^2+H28/(1+0.17)^3+(H28*(1+0.05)/(0.17-0.05))/(1+0.17)^3-61.55)/Assumptions!$B$25,0)</f>
        <v>1354.9960719114129</v>
      </c>
      <c r="F69" s="38">
        <f>IFERROR((F28/(1+0.17)+G28/(1+0.17)^2+H28/(1+0.17)^3+(H28*(1+0.06)/(0.17-0.06))/(1+0.17)^3-61.55)/Assumptions!$B$25,0)</f>
        <v>1463.8693349115476</v>
      </c>
    </row>
    <row r="70" spans="1:6" x14ac:dyDescent="0.3">
      <c r="A70" s="24" t="s">
        <v>202</v>
      </c>
    </row>
  </sheetData>
  <mergeCells count="8">
    <mergeCell ref="A42:H42"/>
    <mergeCell ref="A55:H55"/>
    <mergeCell ref="A62:J62"/>
    <mergeCell ref="A1:J1"/>
    <mergeCell ref="A3:H3"/>
    <mergeCell ref="A11:H11"/>
    <mergeCell ref="A19:H19"/>
    <mergeCell ref="A30:H30"/>
  </mergeCells>
  <hyperlinks>
    <hyperlink ref="C32" r:id="rId1" xr:uid="{7F501F3B-844D-400E-BF1C-A2E8D8B2A5A1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L35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33" sqref="F33"/>
    </sheetView>
  </sheetViews>
  <sheetFormatPr defaultColWidth="8.6640625" defaultRowHeight="14.4" x14ac:dyDescent="0.3"/>
  <cols>
    <col min="1" max="1" width="28" customWidth="1"/>
    <col min="2" max="12" width="13" customWidth="1"/>
  </cols>
  <sheetData>
    <row r="1" spans="1:12" ht="21.75" customHeight="1" x14ac:dyDescent="0.3">
      <c r="A1" s="75" t="s">
        <v>203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</row>
    <row r="2" spans="1:12" ht="39.75" customHeight="1" x14ac:dyDescent="0.3">
      <c r="A2" s="1" t="s">
        <v>204</v>
      </c>
      <c r="B2" s="8" t="s">
        <v>205</v>
      </c>
      <c r="C2" s="8" t="s">
        <v>256</v>
      </c>
      <c r="D2" s="8" t="s">
        <v>255</v>
      </c>
      <c r="E2" s="8" t="s">
        <v>206</v>
      </c>
      <c r="F2" s="8" t="s">
        <v>207</v>
      </c>
      <c r="G2" s="8" t="s">
        <v>208</v>
      </c>
      <c r="H2" s="8" t="s">
        <v>209</v>
      </c>
      <c r="I2" s="8" t="s">
        <v>210</v>
      </c>
      <c r="J2" s="8" t="s">
        <v>211</v>
      </c>
      <c r="K2" s="8" t="s">
        <v>212</v>
      </c>
      <c r="L2" s="8" t="s">
        <v>213</v>
      </c>
    </row>
    <row r="3" spans="1:12" x14ac:dyDescent="0.3">
      <c r="A3" s="39" t="s">
        <v>214</v>
      </c>
      <c r="B3" s="40">
        <v>15209</v>
      </c>
      <c r="C3" s="40">
        <v>20105</v>
      </c>
      <c r="D3" s="40">
        <v>23988</v>
      </c>
      <c r="E3" s="40">
        <v>1749</v>
      </c>
      <c r="F3" s="41">
        <f>E3/D3</f>
        <v>7.2911455727863936E-2</v>
      </c>
      <c r="G3" s="40">
        <v>681</v>
      </c>
      <c r="H3" s="41">
        <f>G3/D3</f>
        <v>2.8389194597298651E-2</v>
      </c>
      <c r="I3" s="42">
        <f>C3/E3</f>
        <v>11.49514008004574</v>
      </c>
      <c r="J3" s="42">
        <f>B3/G3</f>
        <v>22.333333333333332</v>
      </c>
      <c r="K3" s="42">
        <f>B3/D3</f>
        <v>0.63402534600633653</v>
      </c>
      <c r="L3" s="41">
        <v>0.18</v>
      </c>
    </row>
    <row r="4" spans="1:12" x14ac:dyDescent="0.3">
      <c r="A4" s="39" t="s">
        <v>215</v>
      </c>
      <c r="B4" s="40">
        <v>5535</v>
      </c>
      <c r="C4" s="40">
        <v>6280</v>
      </c>
      <c r="D4" s="40">
        <v>5553</v>
      </c>
      <c r="E4" s="40">
        <v>573</v>
      </c>
      <c r="F4" s="41">
        <f t="shared" ref="F4:F6" si="0">E4/D4</f>
        <v>0.10318746623446785</v>
      </c>
      <c r="G4" s="40">
        <v>207</v>
      </c>
      <c r="H4" s="41">
        <f t="shared" ref="H4:H6" si="1">G4/D4</f>
        <v>3.7277147487844407E-2</v>
      </c>
      <c r="I4" s="42">
        <f t="shared" ref="I4:I6" si="2">C4/E4</f>
        <v>10.959860383944154</v>
      </c>
      <c r="J4" s="42">
        <f t="shared" ref="J4:J6" si="3">B4/G4</f>
        <v>26.739130434782609</v>
      </c>
      <c r="K4" s="42">
        <f t="shared" ref="K4:K6" si="4">B4/D4</f>
        <v>0.99675850891410045</v>
      </c>
      <c r="L4" s="41">
        <v>0.26600000000000001</v>
      </c>
    </row>
    <row r="5" spans="1:12" x14ac:dyDescent="0.3">
      <c r="A5" s="39" t="s">
        <v>216</v>
      </c>
      <c r="B5" s="40">
        <v>14708</v>
      </c>
      <c r="C5" s="40">
        <v>14628</v>
      </c>
      <c r="D5" s="40">
        <v>3057</v>
      </c>
      <c r="E5" s="40">
        <v>456</v>
      </c>
      <c r="F5" s="41">
        <f t="shared" si="0"/>
        <v>0.1491658488714426</v>
      </c>
      <c r="G5" s="40">
        <v>494</v>
      </c>
      <c r="H5" s="41">
        <f t="shared" si="1"/>
        <v>0.16159633627739614</v>
      </c>
      <c r="I5" s="42">
        <f t="shared" si="2"/>
        <v>32.078947368421055</v>
      </c>
      <c r="J5" s="42">
        <f t="shared" si="3"/>
        <v>29.773279352226719</v>
      </c>
      <c r="K5" s="42">
        <f t="shared" si="4"/>
        <v>4.8112528622832844</v>
      </c>
      <c r="L5" s="41">
        <v>0.16500000000000001</v>
      </c>
    </row>
    <row r="6" spans="1:12" x14ac:dyDescent="0.3">
      <c r="A6" s="39" t="s">
        <v>259</v>
      </c>
      <c r="B6" s="40">
        <v>827</v>
      </c>
      <c r="C6" s="40">
        <v>896</v>
      </c>
      <c r="D6" s="40">
        <v>343</v>
      </c>
      <c r="E6" s="40">
        <v>50</v>
      </c>
      <c r="F6" s="41">
        <f t="shared" si="0"/>
        <v>0.1457725947521866</v>
      </c>
      <c r="G6" s="40">
        <v>29</v>
      </c>
      <c r="H6" s="41">
        <f t="shared" si="1"/>
        <v>8.4548104956268216E-2</v>
      </c>
      <c r="I6" s="42">
        <f t="shared" si="2"/>
        <v>17.920000000000002</v>
      </c>
      <c r="J6" s="42">
        <f t="shared" si="3"/>
        <v>28.517241379310345</v>
      </c>
      <c r="K6" s="42">
        <f t="shared" si="4"/>
        <v>2.4110787172011663</v>
      </c>
      <c r="L6" s="41">
        <v>0.42899999999999999</v>
      </c>
    </row>
    <row r="7" spans="1:12" x14ac:dyDescent="0.3">
      <c r="A7" s="2" t="s">
        <v>217</v>
      </c>
      <c r="B7" s="43">
        <v>1801</v>
      </c>
      <c r="C7" s="43">
        <v>1863</v>
      </c>
      <c r="D7" s="43">
        <v>1628</v>
      </c>
      <c r="E7" s="43">
        <v>197</v>
      </c>
      <c r="F7" s="44">
        <f>E7/D7</f>
        <v>0.12100737100737101</v>
      </c>
      <c r="G7" s="43">
        <v>138</v>
      </c>
      <c r="H7" s="44">
        <f>G7/D7</f>
        <v>8.476658476658476E-2</v>
      </c>
      <c r="I7" s="45">
        <f>C7/E7</f>
        <v>9.4568527918781733</v>
      </c>
      <c r="J7" s="45">
        <f>B7/G7</f>
        <v>13.05072463768116</v>
      </c>
      <c r="K7" s="45">
        <f>B7/D7</f>
        <v>1.1062653562653562</v>
      </c>
      <c r="L7" s="44">
        <v>0.48599999999999999</v>
      </c>
    </row>
    <row r="9" spans="1:12" x14ac:dyDescent="0.3">
      <c r="A9" s="46" t="s">
        <v>218</v>
      </c>
      <c r="B9" s="46">
        <f>AVERAGE(B3:B6)</f>
        <v>9069.75</v>
      </c>
      <c r="C9" s="46">
        <f t="shared" ref="C9:K9" si="5">AVERAGE(C3:C6)</f>
        <v>10477.25</v>
      </c>
      <c r="D9" s="46">
        <f t="shared" si="5"/>
        <v>8235.25</v>
      </c>
      <c r="E9" s="46">
        <f t="shared" si="5"/>
        <v>707</v>
      </c>
      <c r="F9" s="46">
        <f t="shared" si="5"/>
        <v>0.11775934139649025</v>
      </c>
      <c r="G9" s="46">
        <f t="shared" si="5"/>
        <v>352.75</v>
      </c>
      <c r="H9" s="46">
        <f t="shared" si="5"/>
        <v>7.7952695829701851E-2</v>
      </c>
      <c r="I9" s="46">
        <f t="shared" si="5"/>
        <v>18.113486958102737</v>
      </c>
      <c r="J9" s="46">
        <f t="shared" si="5"/>
        <v>26.840746124913252</v>
      </c>
      <c r="K9" s="46">
        <f t="shared" si="5"/>
        <v>2.213278858601222</v>
      </c>
      <c r="L9" s="46">
        <v>0.26</v>
      </c>
    </row>
    <row r="11" spans="1:12" x14ac:dyDescent="0.3">
      <c r="A11" s="76" t="s">
        <v>219</v>
      </c>
      <c r="B11" s="76"/>
      <c r="C11" s="76"/>
      <c r="D11" s="76"/>
      <c r="E11" s="76"/>
      <c r="F11" s="76"/>
      <c r="G11" s="76"/>
    </row>
    <row r="12" spans="1:12" ht="27.75" customHeight="1" x14ac:dyDescent="0.3">
      <c r="A12" s="1" t="s">
        <v>204</v>
      </c>
      <c r="B12" s="8" t="s">
        <v>220</v>
      </c>
      <c r="C12" s="8" t="s">
        <v>221</v>
      </c>
      <c r="D12" s="8" t="s">
        <v>222</v>
      </c>
      <c r="E12" s="8" t="s">
        <v>223</v>
      </c>
      <c r="F12" s="8" t="s">
        <v>224</v>
      </c>
      <c r="G12" s="8" t="s">
        <v>225</v>
      </c>
    </row>
    <row r="13" spans="1:12" x14ac:dyDescent="0.3">
      <c r="A13" s="12" t="s">
        <v>214</v>
      </c>
      <c r="B13" s="48">
        <v>136</v>
      </c>
      <c r="C13" s="48">
        <v>90</v>
      </c>
      <c r="D13" s="48">
        <v>76</v>
      </c>
      <c r="E13" s="48">
        <v>84</v>
      </c>
      <c r="F13" s="48" t="s">
        <v>257</v>
      </c>
      <c r="G13" s="49">
        <f>AVERAGE(B13:F13)</f>
        <v>96.5</v>
      </c>
    </row>
    <row r="14" spans="1:12" x14ac:dyDescent="0.3">
      <c r="A14" s="12" t="s">
        <v>215</v>
      </c>
      <c r="B14" s="48">
        <v>93</v>
      </c>
      <c r="C14" s="48">
        <v>66</v>
      </c>
      <c r="D14" s="48">
        <v>85</v>
      </c>
      <c r="E14" s="48">
        <v>55</v>
      </c>
      <c r="F14" s="48" t="s">
        <v>257</v>
      </c>
      <c r="G14" s="49">
        <f>AVERAGE(B14:F14)</f>
        <v>74.75</v>
      </c>
    </row>
    <row r="15" spans="1:12" x14ac:dyDescent="0.3">
      <c r="A15" s="12" t="s">
        <v>216</v>
      </c>
      <c r="B15" s="48">
        <v>213</v>
      </c>
      <c r="C15" s="48">
        <v>282</v>
      </c>
      <c r="D15" s="48">
        <v>180</v>
      </c>
      <c r="E15" s="48">
        <v>108</v>
      </c>
      <c r="F15" s="48" t="s">
        <v>257</v>
      </c>
      <c r="G15" s="49">
        <f>AVERAGE(B15:F15)</f>
        <v>195.75</v>
      </c>
    </row>
    <row r="16" spans="1:12" x14ac:dyDescent="0.3">
      <c r="A16" s="12" t="s">
        <v>259</v>
      </c>
      <c r="B16" s="48"/>
      <c r="C16" s="48">
        <v>204</v>
      </c>
      <c r="D16" s="48">
        <v>153</v>
      </c>
      <c r="E16" s="48">
        <v>207</v>
      </c>
      <c r="F16" s="48" t="s">
        <v>257</v>
      </c>
      <c r="G16" s="49">
        <f t="shared" ref="G16" si="6">AVERAGE(B16:F16)</f>
        <v>188</v>
      </c>
    </row>
    <row r="17" spans="1:7" x14ac:dyDescent="0.3">
      <c r="A17" s="9" t="s">
        <v>226</v>
      </c>
      <c r="B17" s="50">
        <v>141</v>
      </c>
      <c r="C17" s="50">
        <v>103</v>
      </c>
      <c r="D17" s="50">
        <v>94</v>
      </c>
      <c r="E17" s="50">
        <v>62</v>
      </c>
      <c r="F17" s="47">
        <v>78</v>
      </c>
    </row>
    <row r="19" spans="1:7" x14ac:dyDescent="0.3">
      <c r="A19" s="76" t="s">
        <v>227</v>
      </c>
      <c r="B19" s="76"/>
      <c r="C19" s="76"/>
      <c r="D19" s="76"/>
      <c r="E19" s="76"/>
      <c r="F19" s="76"/>
      <c r="G19" s="76"/>
    </row>
    <row r="20" spans="1:7" ht="27.75" customHeight="1" x14ac:dyDescent="0.3">
      <c r="A20" s="1" t="s">
        <v>204</v>
      </c>
      <c r="B20" s="8" t="s">
        <v>220</v>
      </c>
      <c r="C20" s="8" t="s">
        <v>221</v>
      </c>
      <c r="D20" s="8" t="s">
        <v>222</v>
      </c>
      <c r="E20" s="8" t="s">
        <v>223</v>
      </c>
      <c r="F20" s="8" t="s">
        <v>224</v>
      </c>
      <c r="G20" s="8" t="s">
        <v>225</v>
      </c>
    </row>
    <row r="21" spans="1:7" x14ac:dyDescent="0.3">
      <c r="A21" s="12" t="s">
        <v>214</v>
      </c>
      <c r="B21" s="48">
        <v>65</v>
      </c>
      <c r="C21" s="48">
        <v>59</v>
      </c>
      <c r="D21" s="48">
        <v>53</v>
      </c>
      <c r="E21" s="48">
        <v>41</v>
      </c>
      <c r="F21" s="48" t="s">
        <v>257</v>
      </c>
      <c r="G21" s="49">
        <f>AVERAGE(B21:F21)</f>
        <v>54.5</v>
      </c>
    </row>
    <row r="22" spans="1:7" x14ac:dyDescent="0.3">
      <c r="A22" s="12" t="s">
        <v>215</v>
      </c>
      <c r="B22" s="48">
        <v>251</v>
      </c>
      <c r="C22" s="48">
        <v>263</v>
      </c>
      <c r="D22" s="48">
        <v>263</v>
      </c>
      <c r="E22" s="48">
        <v>152</v>
      </c>
      <c r="F22" s="48" t="s">
        <v>257</v>
      </c>
      <c r="G22" s="49">
        <f>AVERAGE(B22:F22)</f>
        <v>232.25</v>
      </c>
    </row>
    <row r="23" spans="1:7" x14ac:dyDescent="0.3">
      <c r="A23" s="12" t="s">
        <v>216</v>
      </c>
      <c r="B23" s="48">
        <v>13</v>
      </c>
      <c r="C23" s="48">
        <v>59</v>
      </c>
      <c r="D23" s="48">
        <v>8</v>
      </c>
      <c r="E23" s="48">
        <v>0</v>
      </c>
      <c r="F23" s="48" t="s">
        <v>257</v>
      </c>
      <c r="G23" s="49">
        <f>AVERAGE(B23:F23)</f>
        <v>20</v>
      </c>
    </row>
    <row r="24" spans="1:7" x14ac:dyDescent="0.3">
      <c r="A24" s="12" t="s">
        <v>259</v>
      </c>
      <c r="B24" s="48" t="s">
        <v>257</v>
      </c>
      <c r="C24" s="48" t="s">
        <v>257</v>
      </c>
      <c r="D24" s="48">
        <v>44</v>
      </c>
      <c r="E24" s="48">
        <v>29</v>
      </c>
      <c r="F24" s="48" t="s">
        <v>257</v>
      </c>
      <c r="G24" s="49">
        <f t="shared" ref="G24" si="7">AVERAGE(B24:F24)</f>
        <v>36.5</v>
      </c>
    </row>
    <row r="25" spans="1:7" x14ac:dyDescent="0.3">
      <c r="A25" s="9" t="s">
        <v>228</v>
      </c>
      <c r="B25" s="50">
        <v>95</v>
      </c>
      <c r="C25" s="50">
        <v>82</v>
      </c>
      <c r="D25" s="50">
        <v>64</v>
      </c>
      <c r="E25" s="50">
        <v>26</v>
      </c>
      <c r="F25" s="47">
        <v>34</v>
      </c>
    </row>
    <row r="27" spans="1:7" x14ac:dyDescent="0.3">
      <c r="A27" s="76" t="s">
        <v>229</v>
      </c>
      <c r="B27" s="76"/>
      <c r="C27" s="76"/>
      <c r="D27" s="76"/>
      <c r="E27" s="76"/>
      <c r="F27" s="76"/>
      <c r="G27" s="76"/>
    </row>
    <row r="28" spans="1:7" ht="27.75" customHeight="1" x14ac:dyDescent="0.3">
      <c r="A28" s="1" t="s">
        <v>204</v>
      </c>
      <c r="B28" s="8" t="s">
        <v>220</v>
      </c>
      <c r="C28" s="8" t="s">
        <v>221</v>
      </c>
      <c r="D28" s="8" t="s">
        <v>222</v>
      </c>
      <c r="E28" s="8" t="s">
        <v>223</v>
      </c>
      <c r="F28" s="8" t="s">
        <v>224</v>
      </c>
      <c r="G28" s="8" t="s">
        <v>225</v>
      </c>
    </row>
    <row r="29" spans="1:7" x14ac:dyDescent="0.3">
      <c r="A29" s="12" t="s">
        <v>214</v>
      </c>
      <c r="B29" s="48">
        <v>420</v>
      </c>
      <c r="C29" s="48">
        <v>433</v>
      </c>
      <c r="D29" s="48">
        <v>401</v>
      </c>
      <c r="E29" s="48">
        <v>380</v>
      </c>
      <c r="F29" s="48" t="s">
        <v>257</v>
      </c>
      <c r="G29" s="49">
        <f>AVERAGE(B29:F29)</f>
        <v>408.5</v>
      </c>
    </row>
    <row r="30" spans="1:7" x14ac:dyDescent="0.3">
      <c r="A30" s="12" t="s">
        <v>215</v>
      </c>
      <c r="B30" s="48">
        <v>200</v>
      </c>
      <c r="C30" s="48">
        <v>169</v>
      </c>
      <c r="D30" s="48">
        <v>267</v>
      </c>
      <c r="E30" s="48">
        <v>155</v>
      </c>
      <c r="F30" s="48" t="s">
        <v>257</v>
      </c>
      <c r="G30" s="49">
        <f>AVERAGE(B30:F30)</f>
        <v>197.75</v>
      </c>
    </row>
    <row r="31" spans="1:7" x14ac:dyDescent="0.3">
      <c r="A31" s="12" t="s">
        <v>216</v>
      </c>
      <c r="B31" s="48">
        <v>205</v>
      </c>
      <c r="C31" s="48">
        <v>303</v>
      </c>
      <c r="D31" s="48">
        <v>173</v>
      </c>
      <c r="E31" s="48" t="s">
        <v>257</v>
      </c>
      <c r="F31" s="48" t="s">
        <v>257</v>
      </c>
      <c r="G31" s="49">
        <f>AVERAGE(B31:F31)</f>
        <v>227</v>
      </c>
    </row>
    <row r="32" spans="1:7" x14ac:dyDescent="0.3">
      <c r="A32" s="12" t="s">
        <v>259</v>
      </c>
      <c r="B32" s="48" t="s">
        <v>257</v>
      </c>
      <c r="C32" s="48" t="s">
        <v>257</v>
      </c>
      <c r="D32" s="48">
        <v>33</v>
      </c>
      <c r="E32" s="48">
        <v>236</v>
      </c>
      <c r="F32" s="48" t="s">
        <v>257</v>
      </c>
      <c r="G32" s="49">
        <f t="shared" ref="G32" si="8">AVERAGE(B32:F32)</f>
        <v>134.5</v>
      </c>
    </row>
    <row r="33" spans="1:8" x14ac:dyDescent="0.3">
      <c r="A33" s="9" t="s">
        <v>228</v>
      </c>
      <c r="B33" s="50">
        <v>116</v>
      </c>
      <c r="C33" s="50">
        <v>76</v>
      </c>
      <c r="D33" s="50">
        <v>55</v>
      </c>
      <c r="E33" s="50">
        <v>50</v>
      </c>
      <c r="F33" s="47">
        <v>90</v>
      </c>
    </row>
    <row r="35" spans="1:8" ht="34.5" customHeight="1" x14ac:dyDescent="0.3">
      <c r="A35" s="77"/>
      <c r="B35" s="77"/>
      <c r="C35" s="77"/>
      <c r="D35" s="77"/>
      <c r="E35" s="77"/>
      <c r="F35" s="77"/>
      <c r="G35" s="77"/>
      <c r="H35" s="77"/>
    </row>
  </sheetData>
  <mergeCells count="5">
    <mergeCell ref="A1:L1"/>
    <mergeCell ref="A11:G11"/>
    <mergeCell ref="A19:G19"/>
    <mergeCell ref="A27:G27"/>
    <mergeCell ref="A35:H3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CMP Input</vt:lpstr>
      <vt:lpstr>Financials</vt:lpstr>
      <vt:lpstr>Assumptions</vt:lpstr>
      <vt:lpstr>DCF &amp; Valuation</vt:lpstr>
      <vt:lpstr>Comparables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Jimit Shah</cp:lastModifiedBy>
  <cp:revision>0</cp:revision>
  <dcterms:created xsi:type="dcterms:W3CDTF">2026-04-28T04:23:08Z</dcterms:created>
  <dcterms:modified xsi:type="dcterms:W3CDTF">2026-05-11T15:58:04Z</dcterms:modified>
  <dc:language>en-US</dc:language>
</cp:coreProperties>
</file>